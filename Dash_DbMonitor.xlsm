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giuliano.gomes\OneDrive - nagumo.com.br\Área de Trabalho\"/>
    </mc:Choice>
  </mc:AlternateContent>
  <xr:revisionPtr revIDLastSave="0" documentId="13_ncr:1_{F61064FA-8BA1-4A90-A95A-202E8D2F53C4}" xr6:coauthVersionLast="47" xr6:coauthVersionMax="47" xr10:uidLastSave="{00000000-0000-0000-0000-000000000000}"/>
  <bookViews>
    <workbookView xWindow="-120" yWindow="-120" windowWidth="20730" windowHeight="11310" activeTab="3" xr2:uid="{00000000-000D-0000-FFFF-FFFF00000000}"/>
  </bookViews>
  <sheets>
    <sheet name="db_user_sessions" sheetId="2" r:id="rId1"/>
    <sheet name="db_locks" sheetId="5" r:id="rId2"/>
    <sheet name="db_invalid_objects" sheetId="4" r:id="rId3"/>
    <sheet name="Dash" sheetId="1" r:id="rId4"/>
  </sheets>
  <definedNames>
    <definedName name="DadosExternos_1" localSheetId="2" hidden="1">db_invalid_objects!$A$1:$Z$2</definedName>
    <definedName name="DadosExternos_1" localSheetId="0" hidden="1">db_user_sessions!$A$1:$AB$12</definedName>
    <definedName name="DadosExternos_2" localSheetId="1" hidden="1">db_locks!$A$1:$O$2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16" i="1" l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T6" i="1"/>
  <c r="AE5" i="1"/>
  <c r="Z13" i="1"/>
  <c r="R13" i="1"/>
  <c r="O13" i="1"/>
  <c r="L13" i="1"/>
  <c r="F13" i="1"/>
  <c r="B13" i="1"/>
  <c r="Z15" i="1"/>
  <c r="R15" i="1"/>
  <c r="O15" i="1"/>
  <c r="L15" i="1"/>
  <c r="F15" i="1"/>
  <c r="B15" i="1"/>
  <c r="B6" i="1"/>
  <c r="I10" i="1"/>
  <c r="I9" i="1"/>
  <c r="T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B3C021D-23AF-4DC0-8B33-7BA3D89993D3}" keepAlive="1" name="Consulta - db_invalid_objects" description="Conexão com a consulta 'db_invalid_objects' na pasta de trabalho." type="5" refreshedVersion="8" background="1" saveData="1">
    <dbPr connection="Provider=Microsoft.Mashup.OleDb.1;Data Source=$Workbook$;Location=db_invalid_objects;Extended Properties=&quot;&quot;" command="SELECT * FROM [db_invalid_objects]"/>
  </connection>
  <connection id="2" xr16:uid="{297B8DE2-9377-4012-9C57-F361E1032204}" keepAlive="1" name="Consulta - db_locks" description="Conexão com a consulta 'db_locks' na pasta de trabalho." type="5" refreshedVersion="8" background="1" saveData="1">
    <dbPr connection="Provider=Microsoft.Mashup.OleDb.1;Data Source=$Workbook$;Location=db_locks;Extended Properties=&quot;&quot;" command="SELECT * FROM [db_locks]"/>
  </connection>
  <connection id="3" xr16:uid="{B7CE800E-ACEC-490C-AC40-75B2CDB7C3D1}" keepAlive="1" name="Consulta - db_user_sessions" description="Conexão com a consulta 'db_user_sessions' na pasta de trabalho." type="5" refreshedVersion="8" background="1" saveData="1">
    <dbPr connection="Provider=Microsoft.Mashup.OleDb.1;Data Source=$Workbook$;Location=db_user_sessions;Extended Properties=&quot;&quot;" command="SELECT * FROM [db_user_sessions]"/>
  </connection>
</connections>
</file>

<file path=xl/sharedStrings.xml><?xml version="1.0" encoding="utf-8"?>
<sst xmlns="http://schemas.openxmlformats.org/spreadsheetml/2006/main" count="279" uniqueCount="107">
  <si>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</si>
  <si>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</si>
  <si>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</si>
  <si>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</si>
  <si>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</si>
  <si>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</si>
  <si>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</si>
  <si>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</si>
  <si>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</si>
  <si>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</si>
  <si>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</si>
  <si>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</si>
  <si>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</si>
  <si>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</si>
  <si>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</si>
  <si>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</si>
  <si>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</si>
  <si>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</si>
  <si>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</si>
  <si>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</si>
  <si>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</si>
  <si>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</si>
  <si>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</si>
  <si>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</si>
  <si>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</si>
  <si>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</si>
  <si>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</si>
  <si>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</si>
  <si>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/>
  </si>
  <si>
    <t>Consinco</t>
  </si>
  <si>
    <t>Con5prd2</t>
  </si>
  <si>
    <t>Dedicated</t>
  </si>
  <si>
    <t>0</t>
  </si>
  <si>
    <t>Active</t>
  </si>
  <si>
    <t>Ngo-Skypre-01</t>
  </si>
  <si>
    <t>12.2.0.1.0</t>
  </si>
  <si>
    <t>WE8ISO8859P1</t>
  </si>
  <si>
    <t>Con5prd1</t>
  </si>
  <si>
    <t>Oracle</t>
  </si>
  <si>
    <t>Unknown</t>
  </si>
  <si>
    <t>Oracle@Nagu-2hdrr1 (J000)</t>
  </si>
  <si>
    <t>Sch Sm_Atualiza_Custoverba_Pdv</t>
  </si>
  <si>
    <t>Sm_Atualiza_Custoverba_Pdv</t>
  </si>
  <si>
    <t>AL32UTF8</t>
  </si>
  <si>
    <t>Admgiuliano</t>
  </si>
  <si>
    <t>.19</t>
  </si>
  <si>
    <t>Pga Memory Operation \ Mrl_Lanctoestoqueie15 \ Sp_Atualizaverbabaixapdv</t>
  </si>
  <si>
    <t>Sessions</t>
  </si>
  <si>
    <t>Invalid Objects</t>
  </si>
  <si>
    <t>Elapsed Time</t>
  </si>
  <si>
    <t>DB User</t>
  </si>
  <si>
    <t>Sys User</t>
  </si>
  <si>
    <t>C5 User</t>
  </si>
  <si>
    <t>Process</t>
  </si>
  <si>
    <t>Sessions Per Machine</t>
  </si>
  <si>
    <t>NAGUMO</t>
  </si>
  <si>
    <t>Last Update:</t>
  </si>
  <si>
    <t>Machine</t>
  </si>
  <si>
    <t>Active Sessions - Ordered by Elapsed Time</t>
  </si>
  <si>
    <t>Locked Sessions:</t>
  </si>
  <si>
    <t>Total Active Sessions:</t>
  </si>
  <si>
    <t>Recebimento.Exe</t>
  </si>
  <si>
    <t>Erp-Recebimento</t>
  </si>
  <si>
    <t>Dbms_Scheduler</t>
  </si>
  <si>
    <t>Pga Memory Operation</t>
  </si>
  <si>
    <t>Nagj_Dbmonitor_Data</t>
  </si>
  <si>
    <t>Compras.Exe</t>
  </si>
  <si>
    <t>Erp-Maxst_Cmpr</t>
  </si>
  <si>
    <t>Victor.Freitas</t>
  </si>
  <si>
    <t>Gerencial.Exe</t>
  </si>
  <si>
    <t>Tesouraria.Exe</t>
  </si>
  <si>
    <t>Erp-Tesourarian</t>
  </si>
  <si>
    <t>Cell Single Block Physical Read \ Madmv_Abcdistribprod</t>
  </si>
  <si>
    <t>Erp-Gerencial</t>
  </si>
  <si>
    <t>.4</t>
  </si>
  <si>
    <t>Oracle@Nagu-2hdrr2 (Ppa4)</t>
  </si>
  <si>
    <t>Oracle@Nagu-2hdrr1 (Ppa4)</t>
  </si>
  <si>
    <t>Not Connected To:</t>
  </si>
  <si>
    <t>Stopped</t>
  </si>
  <si>
    <t>Tatiana.Batista</t>
  </si>
  <si>
    <t>11205349:14</t>
  </si>
  <si>
    <t>TPAULA</t>
  </si>
  <si>
    <t>Cell Single Block Read Request \ Pdv_Docto</t>
  </si>
  <si>
    <t>Locked Sessions Details</t>
  </si>
  <si>
    <t>Active Sessions Details</t>
  </si>
  <si>
    <t>Invalid Objects Details</t>
  </si>
  <si>
    <t>.22</t>
  </si>
  <si>
    <t>Cell Single Block Physical Read \ Mlf_Nfitem</t>
  </si>
  <si>
    <t>Jose.Fernandes</t>
  </si>
  <si>
    <t>03920751:46</t>
  </si>
  <si>
    <t>JSAMPAIO</t>
  </si>
  <si>
    <t>.39</t>
  </si>
  <si>
    <t>Cell Single Block Physical Read \ Mac_Memcalcformula \ Tbiu_Mac_Gercompraitem</t>
  </si>
  <si>
    <t>Julia.Santos</t>
  </si>
  <si>
    <t>11205349:10</t>
  </si>
  <si>
    <t>JUALVES</t>
  </si>
  <si>
    <t>Px Deq: Parse Reply \ Fc5_Qtdemaxinstancia</t>
  </si>
  <si>
    <t>Cleonice.Silva</t>
  </si>
  <si>
    <t>00386708:23</t>
  </si>
  <si>
    <t>CMARIA</t>
  </si>
  <si>
    <t>Oracle@Nagu-2hdrr1 (Ppa3)</t>
  </si>
  <si>
    <t>Enq: To - Contention</t>
  </si>
  <si>
    <t>Oracle@Nagu-2hdrr2 (Ppa3)</t>
  </si>
  <si>
    <t>Pga Memory Operation \ Ts_Ai_Macgercompraitem</t>
  </si>
  <si>
    <t>Rebeca.Nagumo</t>
  </si>
  <si>
    <t>11205349:42</t>
  </si>
  <si>
    <t>REBECA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</si>
</sst>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1"/>
      <color theme="4" tint="0.79998168889431442"/>
      <name val="Nunito"/>
    </font>
    <font>
      <b/>
      <sz val="11"/>
      <color rgb="FFFF0000"/>
      <name val="Nunito"/>
    </font>
    <font>
      <b/>
      <sz val="10"/>
      <color theme="4" tint="0.79998168889431442"/>
      <name val="Nunito"/>
    </font>
    <font>
      <b/>
      <sz val="11"/>
      <color theme="0"/>
      <name val="Nunito"/>
    </font>
  </fonts>
  <fills count="5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gradientFill>
        <stop position="0">
          <color rgb="FFC00000"/>
        </stop>
        <stop position="1">
          <color theme="3" tint="-0.25098422193060094"/>
        </stop>
      </gradientFill>
    </fill>
  </fills>
  <borders count="6">
    <border>
      <left/>
      <right/>
      <top/>
      <bottom/>
      <diagonal/>
    </border>
    <border>
      <left style="thin">
        <color theme="3" tint="-0.249977111117893"/>
      </left>
      <right style="thin">
        <color theme="3" tint="-0.249977111117893"/>
      </right>
      <top style="thin">
        <color theme="3" tint="-0.249977111117893"/>
      </top>
      <bottom style="thin">
        <color theme="3" tint="-0.249977111117893"/>
      </bottom>
      <diagonal/>
    </border>
    <border>
      <left style="thin">
        <color theme="3" tint="-0.249977111117893"/>
      </left>
      <right style="thin">
        <color theme="3" tint="-0.249977111117893"/>
      </right>
      <top/>
      <bottom style="thin">
        <color theme="3" tint="-0.249977111117893"/>
      </bottom>
      <diagonal/>
    </border>
    <border>
      <left/>
      <right style="double">
        <color theme="3" tint="0.79998168889431442"/>
      </right>
      <top/>
      <bottom/>
      <diagonal/>
    </border>
    <border>
      <left style="double">
        <color theme="3" tint="0.79998168889431442"/>
      </left>
      <right/>
      <top/>
      <bottom/>
      <diagonal/>
    </border>
    <border>
      <left style="double">
        <color theme="3" tint="0.79998168889431442"/>
      </left>
      <right style="thin">
        <color theme="3" tint="-0.249977111117893"/>
      </right>
      <top style="thin">
        <color theme="3" tint="-0.249977111117893"/>
      </top>
      <bottom style="thin">
        <color theme="3" tint="-0.249977111117893"/>
      </bottom>
      <diagonal/>
    </border>
  </borders>
  <cellStyleXfs count="1">
    <xf numFmtId="0" fontId="0" fillId="0" borderId="0"/>
  </cellStyleXfs>
  <cellXfs count="34">
    <xf numFmtId="0" fontId="0" fillId="0" borderId="0" xfId="0"/>
    <xf numFmtId="164" fontId="0" fillId="0" borderId="0" xfId="0" applyNumberFormat="1"/>
    <xf numFmtId="14" fontId="0" fillId="0" borderId="0" xfId="0" applyNumberFormat="1"/>
    <xf numFmtId="0" fontId="1" fillId="2" borderId="0" xfId="0" applyFont="1" applyFill="1"/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vertical="center"/>
    </xf>
    <xf numFmtId="0" fontId="1" fillId="2" borderId="3" xfId="0" applyFont="1" applyFill="1" applyBorder="1"/>
    <xf numFmtId="0" fontId="1" fillId="3" borderId="0" xfId="0" applyFont="1" applyFill="1" applyAlignment="1">
      <alignment vertical="center" wrapText="1"/>
    </xf>
    <xf numFmtId="0" fontId="1" fillId="3" borderId="0" xfId="0" applyFont="1" applyFill="1"/>
    <xf numFmtId="0" fontId="2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3" fillId="2" borderId="2" xfId="0" applyFont="1" applyFill="1" applyBorder="1" applyAlignment="1">
      <alignment horizontal="center" vertical="center"/>
    </xf>
    <xf numFmtId="164" fontId="3" fillId="2" borderId="2" xfId="0" applyNumberFormat="1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4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/>
    </xf>
    <xf numFmtId="0" fontId="3" fillId="3" borderId="0" xfId="0" applyFont="1" applyFill="1" applyAlignment="1">
      <alignment horizontal="center"/>
    </xf>
    <xf numFmtId="22" fontId="1" fillId="3" borderId="4" xfId="0" applyNumberFormat="1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0" fillId="0" borderId="0" xfId="0" applyNumberFormat="1"/>
    <xf numFmtId="0" fontId="1" fillId="3" borderId="1" xfId="0" applyFont="1" applyFill="1" applyBorder="1" applyAlignment="1">
      <alignment horizontal="center" vertical="center"/>
    </xf>
  </cellXfs>
  <cellStyles count="1">
    <cellStyle name="Normal" xfId="0" builtinId="0"/>
  </cellStyles>
  <dxfs count="26">
    <dxf>
      <numFmt numFmtId="19" formatCode="dd/mm/yyyy"/>
    </dxf>
    <dxf>
      <numFmt numFmtId="19" formatCode="dd/mm/yyyy"/>
    </dxf>
    <dxf>
      <numFmt numFmtId="19" formatCode="dd/mm/yyyy"/>
    </dxf>
    <dxf>
      <numFmt numFmtId="164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0070C0"/>
        </patternFill>
      </fill>
    </dxf>
    <dxf>
      <fill>
        <patternFill>
          <bgColor rgb="FFA77171"/>
        </patternFill>
      </fill>
      <border>
        <left style="thin">
          <color rgb="FFFF0000"/>
        </left>
      </border>
    </dxf>
    <dxf>
      <fill>
        <patternFill patternType="solid">
          <bgColor rgb="FFA77171"/>
        </patternFill>
      </fill>
      <border>
        <left style="thin">
          <color rgb="FFFF0000"/>
        </left>
      </border>
    </dxf>
  </dxfs>
  <tableStyles count="1" defaultTableStyle="TableStyleMedium2" defaultPivotStyle="PivotStyleLight16">
    <tableStyle name="Invisible" pivot="0" table="0" count="0" xr9:uid="{A0FA749F-7F20-4DDF-9F7B-10D1B6E6C6F1}"/>
  </tableStyles>
  <colors>
    <mruColors>
      <color rgb="FFA77171"/>
      <color rgb="FFBB71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100854</xdr:colOff>
      <xdr:row>4</xdr:row>
      <xdr:rowOff>56029</xdr:rowOff>
    </xdr:from>
    <xdr:to>
      <xdr:col>2</xdr:col>
      <xdr:colOff>134471</xdr:colOff>
      <xdr:row>5</xdr:row>
      <xdr:rowOff>156881</xdr:rowOff>
    </xdr:to>
    <xdr:pic>
      <xdr:nvPicPr>
        <xdr:cNvPr id="5" name="Gráfico 4" descr="Relógio com preenchimento sólido">
          <a:extLst>
            <a:ext uri="{FF2B5EF4-FFF2-40B4-BE49-F238E27FC236}">
              <a16:creationId xmlns:a16="http://schemas.microsoft.com/office/drawing/2014/main" id="{B2121A9A-E07B-463A-9E33-82CDCB94D2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1001" y="907676"/>
          <a:ext cx="313764" cy="313764"/>
        </a:xfrm>
        <a:prstGeom prst="rect">
          <a:avLst/>
        </a:prstGeom>
      </xdr:spPr>
    </xdr:pic>
    <xdr:clientData/>
  </xdr:twoCellAnchor>
  <xdr:twoCellAnchor editAs="oneCell">
    <xdr:from>
      <xdr:col>1</xdr:col>
      <xdr:colOff>100853</xdr:colOff>
      <xdr:row>1</xdr:row>
      <xdr:rowOff>56028</xdr:rowOff>
    </xdr:from>
    <xdr:to>
      <xdr:col>2</xdr:col>
      <xdr:colOff>134471</xdr:colOff>
      <xdr:row>2</xdr:row>
      <xdr:rowOff>156881</xdr:rowOff>
    </xdr:to>
    <xdr:pic>
      <xdr:nvPicPr>
        <xdr:cNvPr id="7" name="Gráfico 6" descr="Sinal com preenchimento sólido">
          <a:extLst>
            <a:ext uri="{FF2B5EF4-FFF2-40B4-BE49-F238E27FC236}">
              <a16:creationId xmlns:a16="http://schemas.microsoft.com/office/drawing/2014/main" id="{34B93995-4BDA-B8BA-62E4-D4D84AC0B7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000" y="268940"/>
          <a:ext cx="313765" cy="313765"/>
        </a:xfrm>
        <a:prstGeom prst="rect">
          <a:avLst/>
        </a:prstGeom>
      </xdr:spPr>
    </xdr:pic>
    <xdr:clientData/>
  </xdr:twoCellAnchor>
  <xdr:twoCellAnchor editAs="oneCell">
    <xdr:from>
      <xdr:col>19</xdr:col>
      <xdr:colOff>11205</xdr:colOff>
      <xdr:row>7</xdr:row>
      <xdr:rowOff>100853</xdr:rowOff>
    </xdr:from>
    <xdr:to>
      <xdr:col>20</xdr:col>
      <xdr:colOff>190500</xdr:colOff>
      <xdr:row>9</xdr:row>
      <xdr:rowOff>134471</xdr:rowOff>
    </xdr:to>
    <xdr:pic macro="[0]!GTSessionF">
      <xdr:nvPicPr>
        <xdr:cNvPr id="12" name="Gráfico 11" descr="Conexões com preenchimento sólido">
          <a:extLst>
            <a:ext uri="{FF2B5EF4-FFF2-40B4-BE49-F238E27FC236}">
              <a16:creationId xmlns:a16="http://schemas.microsoft.com/office/drawing/2014/main" id="{5CAB94B8-53F2-D7B2-964A-B24260F8AC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67617" y="1591235"/>
          <a:ext cx="459442" cy="459442"/>
        </a:xfrm>
        <a:prstGeom prst="rect">
          <a:avLst/>
        </a:prstGeom>
      </xdr:spPr>
    </xdr:pic>
    <xdr:clientData/>
  </xdr:twoCellAnchor>
  <xdr:twoCellAnchor editAs="oneCell">
    <xdr:from>
      <xdr:col>24</xdr:col>
      <xdr:colOff>145677</xdr:colOff>
      <xdr:row>7</xdr:row>
      <xdr:rowOff>134471</xdr:rowOff>
    </xdr:from>
    <xdr:to>
      <xdr:col>25</xdr:col>
      <xdr:colOff>246530</xdr:colOff>
      <xdr:row>9</xdr:row>
      <xdr:rowOff>89647</xdr:rowOff>
    </xdr:to>
    <xdr:pic macro="[0]!GTSessionL">
      <xdr:nvPicPr>
        <xdr:cNvPr id="15" name="Gráfico 14" descr="Bloqueio com preenchimento sólido">
          <a:extLst>
            <a:ext uri="{FF2B5EF4-FFF2-40B4-BE49-F238E27FC236}">
              <a16:creationId xmlns:a16="http://schemas.microsoft.com/office/drawing/2014/main" id="{7F50FE8D-947D-52AD-6291-8CA556C3C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902824" y="1624853"/>
          <a:ext cx="381000" cy="381000"/>
        </a:xfrm>
        <a:prstGeom prst="rect">
          <a:avLst/>
        </a:prstGeom>
      </xdr:spPr>
    </xdr:pic>
    <xdr:clientData/>
  </xdr:twoCellAnchor>
  <xdr:twoCellAnchor editAs="oneCell">
    <xdr:from>
      <xdr:col>30</xdr:col>
      <xdr:colOff>56032</xdr:colOff>
      <xdr:row>7</xdr:row>
      <xdr:rowOff>190501</xdr:rowOff>
    </xdr:from>
    <xdr:to>
      <xdr:col>31</xdr:col>
      <xdr:colOff>89650</xdr:colOff>
      <xdr:row>9</xdr:row>
      <xdr:rowOff>78442</xdr:rowOff>
    </xdr:to>
    <xdr:pic macro="[0]!GTSessionio">
      <xdr:nvPicPr>
        <xdr:cNvPr id="20" name="Gráfico 19" descr="Aviso com preenchimento sólido">
          <a:extLst>
            <a:ext uri="{FF2B5EF4-FFF2-40B4-BE49-F238E27FC236}">
              <a16:creationId xmlns:a16="http://schemas.microsoft.com/office/drawing/2014/main" id="{A6DE9BDD-73BD-3472-7F41-C9BF7D2466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494061" y="1680883"/>
          <a:ext cx="313765" cy="313765"/>
        </a:xfrm>
        <a:prstGeom prst="rect">
          <a:avLst/>
        </a:prstGeom>
      </xdr:spPr>
    </xdr:pic>
    <xdr:clientData/>
  </xdr:twoCellAnchor>
  <xdr:twoCellAnchor editAs="oneCell">
    <xdr:from>
      <xdr:col>12</xdr:col>
      <xdr:colOff>257735</xdr:colOff>
      <xdr:row>7</xdr:row>
      <xdr:rowOff>168088</xdr:rowOff>
    </xdr:from>
    <xdr:to>
      <xdr:col>13</xdr:col>
      <xdr:colOff>246529</xdr:colOff>
      <xdr:row>9</xdr:row>
      <xdr:rowOff>44823</xdr:rowOff>
    </xdr:to>
    <xdr:pic macro="[0]!ExecutarRepetidamente">
      <xdr:nvPicPr>
        <xdr:cNvPr id="3" name="Gráfico 2" descr="Reproduzir com preenchimento sólido">
          <a:extLst>
            <a:ext uri="{FF2B5EF4-FFF2-40B4-BE49-F238E27FC236}">
              <a16:creationId xmlns:a16="http://schemas.microsoft.com/office/drawing/2014/main" id="{2FD9AC67-5CA1-AC59-0A8F-8B058887B8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585882" y="1658470"/>
          <a:ext cx="302559" cy="302559"/>
        </a:xfrm>
        <a:prstGeom prst="rect">
          <a:avLst/>
        </a:prstGeom>
      </xdr:spPr>
    </xdr:pic>
    <xdr:clientData/>
  </xdr:twoCellAnchor>
  <xdr:twoCellAnchor editAs="oneCell">
    <xdr:from>
      <xdr:col>13</xdr:col>
      <xdr:colOff>246529</xdr:colOff>
      <xdr:row>7</xdr:row>
      <xdr:rowOff>190501</xdr:rowOff>
    </xdr:from>
    <xdr:to>
      <xdr:col>14</xdr:col>
      <xdr:colOff>190501</xdr:colOff>
      <xdr:row>9</xdr:row>
      <xdr:rowOff>22413</xdr:rowOff>
    </xdr:to>
    <xdr:pic macro="[0]!PararExecucaoAutomatica">
      <xdr:nvPicPr>
        <xdr:cNvPr id="6" name="Gráfico 5" descr="Pausar com preenchimento sólido">
          <a:extLst>
            <a:ext uri="{FF2B5EF4-FFF2-40B4-BE49-F238E27FC236}">
              <a16:creationId xmlns:a16="http://schemas.microsoft.com/office/drawing/2014/main" id="{FCDAC117-700F-A8B0-3046-AF78FECD8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888441" y="1680883"/>
          <a:ext cx="257736" cy="257736"/>
        </a:xfrm>
        <a:prstGeom prst="rect">
          <a:avLst/>
        </a:prstGeom>
      </xdr:spPr>
    </xdr:pic>
    <xdr:clientData/>
  </xdr:twoCellAnchor>
  <xdr:twoCellAnchor editAs="oneCell">
    <xdr:from>
      <xdr:col>8</xdr:col>
      <xdr:colOff>145676</xdr:colOff>
      <xdr:row>1</xdr:row>
      <xdr:rowOff>67235</xdr:rowOff>
    </xdr:from>
    <xdr:to>
      <xdr:col>9</xdr:col>
      <xdr:colOff>204564</xdr:colOff>
      <xdr:row>2</xdr:row>
      <xdr:rowOff>156882</xdr:rowOff>
    </xdr:to>
    <xdr:pic>
      <xdr:nvPicPr>
        <xdr:cNvPr id="8" name="Imagem 7" descr="Ofertas | Nagumo">
          <a:extLst>
            <a:ext uri="{FF2B5EF4-FFF2-40B4-BE49-F238E27FC236}">
              <a16:creationId xmlns:a16="http://schemas.microsoft.com/office/drawing/2014/main" id="{46BF5951-B5C2-43D7-1084-8EEB5256A5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3235" y="280147"/>
          <a:ext cx="339035" cy="3025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3" xr16:uid="{E9863CF9-0F88-4DA4-8DDF-D56653443A3A}" autoFormatId="16" applyNumberFormats="0" applyBorderFormats="0" applyFontFormats="0" applyPatternFormats="0" applyAlignmentFormats="0" applyWidthHeightFormats="0">
  <queryTableRefresh nextId="29">
    <queryTableFields count="28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  <queryTableField id="19" name="Column19" tableColumnId="19"/>
      <queryTableField id="20" name="Column20" tableColumnId="20"/>
      <queryTableField id="21" name="Column21" tableColumnId="21"/>
      <queryTableField id="22" name="Column22" tableColumnId="22"/>
      <queryTableField id="23" name="Column23" tableColumnId="23"/>
      <queryTableField id="24" name="Column24" tableColumnId="24"/>
      <queryTableField id="25" name="Column25" tableColumnId="25"/>
      <queryTableField id="26" name="Column26" tableColumnId="26"/>
      <queryTableField id="27" name="Column27" tableColumnId="27"/>
      <queryTableField id="28" name="Column28" tableColumnId="2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2" xr16:uid="{A450C6DD-0619-4692-B7C3-30C61122DE44}" autoFormatId="16" applyNumberFormats="0" applyBorderFormats="0" applyFontFormats="0" applyPatternFormats="0" applyAlignmentFormats="0" applyWidthHeightFormats="0">
  <queryTableRefresh nextId="16">
    <queryTableFields count="15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D0DB9CAA-C4C3-467C-8A13-54509A9FE632}" autoFormatId="16" applyNumberFormats="0" applyBorderFormats="0" applyFontFormats="0" applyPatternFormats="0" applyAlignmentFormats="0" applyWidthHeightFormats="0">
  <queryTableRefresh nextId="27">
    <queryTableFields count="26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  <queryTableField id="19" name="Column19" tableColumnId="19"/>
      <queryTableField id="20" name="Column20" tableColumnId="20"/>
      <queryTableField id="21" name="Column21" tableColumnId="21"/>
      <queryTableField id="22" name="Column22" tableColumnId="22"/>
      <queryTableField id="23" name="Column23" tableColumnId="23"/>
      <queryTableField id="24" name="Column24" tableColumnId="24"/>
      <queryTableField id="25" name="Column25" tableColumnId="25"/>
      <queryTableField id="26" name="Column26" tableColumnId="2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3B6C93F-DDE8-4C8E-A63F-3B9FD1009B67}" name="db_user_sessions" displayName="db_user_sessions" ref="A1:AB12" tableType="queryTable" totalsRowShown="0">
  <autoFilter ref="A1:AB12" xr:uid="{93B6C93F-DDE8-4C8E-A63F-3B9FD1009B67}"/>
  <tableColumns count="28">
    <tableColumn id="1" xr3:uid="{BA4240AC-AF55-43BC-964C-E4CEB1A5D996}" uniqueName="1" name="Column1" queryTableFieldId="1" dataDxfId="22"/>
    <tableColumn id="2" xr3:uid="{41F45ED8-4F31-4DBC-9D58-D00ABD489591}" uniqueName="2" name="Column2" queryTableFieldId="2" dataDxfId="21"/>
    <tableColumn id="3" xr3:uid="{46A8CE86-6363-4A49-83F0-E9CB3BAC2DFC}" uniqueName="3" name="Column3" queryTableFieldId="3"/>
    <tableColumn id="4" xr3:uid="{9ABA3B18-AA40-40D3-BEDE-45AB3C0D7C48}" uniqueName="4" name="Column4" queryTableFieldId="4"/>
    <tableColumn id="5" xr3:uid="{F5281C63-FBCC-4BC6-90CE-C6748C1708F6}" uniqueName="5" name="Column5" queryTableFieldId="5" dataDxfId="20"/>
    <tableColumn id="6" xr3:uid="{9FB19AA6-38C3-436C-8DB0-33F3679D1163}" uniqueName="6" name="Column6" queryTableFieldId="6"/>
    <tableColumn id="7" xr3:uid="{A5BB2CEB-189F-4F6C-8A39-0D4955BFF522}" uniqueName="7" name="Column7" queryTableFieldId="7"/>
    <tableColumn id="8" xr3:uid="{FCF86688-1017-4D43-AAAD-796E8F5340A1}" uniqueName="8" name="Column8" queryTableFieldId="8" dataDxfId="19"/>
    <tableColumn id="9" xr3:uid="{487FBEC7-0C3B-4AE6-AA31-B2EE31A6B4AF}" uniqueName="9" name="Column9" queryTableFieldId="9"/>
    <tableColumn id="10" xr3:uid="{C91FC6D7-0A6E-412E-921F-826B2B75AC8D}" uniqueName="10" name="Column10" queryTableFieldId="10" dataDxfId="18"/>
    <tableColumn id="11" xr3:uid="{A9402B3C-5658-42E9-8D6C-AE6B576DEC43}" uniqueName="11" name="Column11" queryTableFieldId="11"/>
    <tableColumn id="12" xr3:uid="{170408A7-A3B3-402E-BFFD-57BAA07F4561}" uniqueName="12" name="Column12" queryTableFieldId="12"/>
    <tableColumn id="13" xr3:uid="{3D2AE59E-340C-49DC-A543-87CE1F3413FA}" uniqueName="13" name="Column13" queryTableFieldId="13"/>
    <tableColumn id="14" xr3:uid="{F3180F74-5783-42DB-84EE-E3CAEB5F832D}" uniqueName="14" name="Column14" queryTableFieldId="14" dataDxfId="17"/>
    <tableColumn id="15" xr3:uid="{73D16B9C-AF0D-4E2F-9F10-9CCA0B229DCE}" uniqueName="15" name="Column15" queryTableFieldId="15"/>
    <tableColumn id="16" xr3:uid="{3EF64B97-9353-4A60-9B58-11807D5A960C}" uniqueName="16" name="Column16" queryTableFieldId="16" dataDxfId="16"/>
    <tableColumn id="17" xr3:uid="{3C91748E-3EEA-4531-AC2F-932D734BFBDD}" uniqueName="17" name="Column17" queryTableFieldId="17" dataDxfId="15"/>
    <tableColumn id="18" xr3:uid="{ECA0CD8E-3984-44D9-A019-E9B661037EB1}" uniqueName="18" name="Column18" queryTableFieldId="18" dataDxfId="14"/>
    <tableColumn id="19" xr3:uid="{1B9642C7-43DE-48F0-8855-61DDCA8805D6}" uniqueName="19" name="Column19" queryTableFieldId="19" dataDxfId="13"/>
    <tableColumn id="20" xr3:uid="{C4BB61D4-FE60-493B-AA71-DD71FF4C9301}" uniqueName="20" name="Column20" queryTableFieldId="20" dataDxfId="12"/>
    <tableColumn id="21" xr3:uid="{91A6954C-BFD2-4DCA-B585-475981F99E71}" uniqueName="21" name="Column21" queryTableFieldId="21" dataDxfId="11"/>
    <tableColumn id="22" xr3:uid="{4ADDC88C-DAA6-4E0D-946A-9DC8BA249006}" uniqueName="22" name="Column22" queryTableFieldId="22" dataDxfId="10"/>
    <tableColumn id="23" xr3:uid="{20EEA2E8-BAF0-4F2A-A18D-F0F28637B951}" uniqueName="23" name="Column23" queryTableFieldId="23" dataDxfId="9"/>
    <tableColumn id="24" xr3:uid="{F9AD40CA-EC13-43E8-85EA-5C374CDC58EE}" uniqueName="24" name="Column24" queryTableFieldId="24" dataDxfId="8"/>
    <tableColumn id="25" xr3:uid="{5465CA9D-4EA7-4BE2-B473-DF30A9223178}" uniqueName="25" name="Column25" queryTableFieldId="25" dataDxfId="7"/>
    <tableColumn id="26" xr3:uid="{C4F56F76-9672-4F4A-83E7-FCAD052A310C}" uniqueName="26" name="Column26" queryTableFieldId="26" dataDxfId="6"/>
    <tableColumn id="27" xr3:uid="{FD880D67-5A0C-48C1-913C-BA32631DDE6C}" uniqueName="27" name="Column27" queryTableFieldId="27" dataDxfId="5"/>
    <tableColumn id="28" xr3:uid="{8731D375-616B-4657-97D8-4D5EF481FF5D}" uniqueName="28" name="Column28" queryTableFieldId="28" dataDxfId="4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75F1DB7-5951-4900-80D7-42666D34E12B}" name="db_locks" displayName="db_locks" ref="A1:O2" tableType="queryTable" insertRow="1" totalsRowShown="0">
  <autoFilter ref="A1:O2" xr:uid="{A75F1DB7-5951-4900-80D7-42666D34E12B}"/>
  <tableColumns count="15">
    <tableColumn id="1" xr3:uid="{3C7221E0-C0F4-458B-BDDF-CEFB60C247D8}" uniqueName="1" name="Column1" queryTableFieldId="1"/>
    <tableColumn id="2" xr3:uid="{D88C8C44-36C1-4956-AABC-0AE8DED44022}" uniqueName="2" name="Column2" queryTableFieldId="2"/>
    <tableColumn id="3" xr3:uid="{7AC0F748-6676-4A02-8308-D039CEC15DA2}" uniqueName="3" name="Column3" queryTableFieldId="3"/>
    <tableColumn id="4" xr3:uid="{DE9D9AA7-9E11-46F4-B9DC-B9183F381505}" uniqueName="4" name="Column4" queryTableFieldId="4" dataDxfId="3"/>
    <tableColumn id="5" xr3:uid="{0FDB740B-84BF-4387-A8AC-615D3964E4E2}" uniqueName="5" name="Column5" queryTableFieldId="5"/>
    <tableColumn id="6" xr3:uid="{D6F65AE6-82BF-408D-816B-A843F3BBD7EF}" uniqueName="6" name="Column6" queryTableFieldId="6"/>
    <tableColumn id="7" xr3:uid="{A6A5BAAF-2D28-4153-A643-035317F330E6}" uniqueName="7" name="Column7" queryTableFieldId="7"/>
    <tableColumn id="8" xr3:uid="{EFC7C0DE-20E8-4A55-8FE8-85484FC7F89B}" uniqueName="8" name="Column8" queryTableFieldId="8"/>
    <tableColumn id="9" xr3:uid="{BA603569-6C1F-47DA-B441-3632F429B256}" uniqueName="9" name="Column9" queryTableFieldId="9"/>
    <tableColumn id="10" xr3:uid="{2050E02B-3525-4D3C-972F-BBFBF55D99E5}" uniqueName="10" name="Column10" queryTableFieldId="10"/>
    <tableColumn id="11" xr3:uid="{E8DC7642-6022-4701-8DDD-9CE85C02983C}" uniqueName="11" name="Column11" queryTableFieldId="11"/>
    <tableColumn id="12" xr3:uid="{F809F298-82AE-402C-B67C-543527B99380}" uniqueName="12" name="Column12" queryTableFieldId="12"/>
    <tableColumn id="13" xr3:uid="{3883EB80-F0C5-4241-B77E-89E76CB2819E}" uniqueName="13" name="Column13" queryTableFieldId="13"/>
    <tableColumn id="14" xr3:uid="{2D931199-FECC-407C-AC32-7776E0784A04}" uniqueName="14" name="Column14" queryTableFieldId="14" dataDxfId="2"/>
    <tableColumn id="15" xr3:uid="{ECB36E2D-0F81-4F7D-B615-EF917036AA9E}" uniqueName="15" name="Column15" queryTableFieldId="15"/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1398AB6-8A38-4F32-9D66-429DCB02D395}" name="db_invalid_objects" displayName="db_invalid_objects" ref="A1:Z2" tableType="queryTable" insertRow="1" totalsRowShown="0">
  <autoFilter ref="A1:Z2" xr:uid="{B1398AB6-8A38-4F32-9D66-429DCB02D395}"/>
  <tableColumns count="26">
    <tableColumn id="1" xr3:uid="{BCED63BA-357B-4AFC-8862-515A54DDCEBB}" uniqueName="1" name="Column1" queryTableFieldId="1"/>
    <tableColumn id="2" xr3:uid="{3AA42AB2-CA52-42F5-808A-E422D12666AA}" uniqueName="2" name="Column2" queryTableFieldId="2"/>
    <tableColumn id="3" xr3:uid="{BCD35127-22B0-421A-9EC5-0658BE22BF88}" uniqueName="3" name="Column3" queryTableFieldId="3"/>
    <tableColumn id="4" xr3:uid="{05C53958-C0B0-4639-B4E9-AAA864D498A7}" uniqueName="4" name="Column4" queryTableFieldId="4"/>
    <tableColumn id="5" xr3:uid="{FBFEB877-84BF-4C7A-8E7D-F4750D9A1DE5}" uniqueName="5" name="Column5" queryTableFieldId="5"/>
    <tableColumn id="6" xr3:uid="{83D951B8-B095-4029-AAEF-8B4728D8833B}" uniqueName="6" name="Column6" queryTableFieldId="6"/>
    <tableColumn id="7" xr3:uid="{F67B4E62-6325-4C8E-8C76-F3B88B8A6967}" uniqueName="7" name="Column7" queryTableFieldId="7" dataDxfId="1"/>
    <tableColumn id="8" xr3:uid="{7D297E31-994E-4621-A4EF-3513043E7527}" uniqueName="8" name="Column8" queryTableFieldId="8" dataDxfId="0"/>
    <tableColumn id="9" xr3:uid="{E4389ED9-59D8-48E8-B1B1-618781D0951A}" uniqueName="9" name="Column9" queryTableFieldId="9"/>
    <tableColumn id="10" xr3:uid="{66D9E6A5-3A4D-482C-869E-DF54F1D5AFC4}" uniqueName="10" name="Column10" queryTableFieldId="10"/>
    <tableColumn id="11" xr3:uid="{05EB4881-E095-4F89-9A9A-DF30145B1C50}" uniqueName="11" name="Column11" queryTableFieldId="11"/>
    <tableColumn id="12" xr3:uid="{23DD5362-00C3-4FB7-AE7E-3AB0992C216E}" uniqueName="12" name="Column12" queryTableFieldId="12"/>
    <tableColumn id="13" xr3:uid="{32083223-6A6A-4F13-BFDB-E4088FCBF484}" uniqueName="13" name="Column13" queryTableFieldId="13"/>
    <tableColumn id="14" xr3:uid="{5AD39972-99FC-4E23-8F6A-EE8742C27582}" uniqueName="14" name="Column14" queryTableFieldId="14"/>
    <tableColumn id="15" xr3:uid="{6DF6C6D0-9EAA-4900-84DE-B859E9BBF8D7}" uniqueName="15" name="Column15" queryTableFieldId="15"/>
    <tableColumn id="16" xr3:uid="{E32E5336-581E-494C-B798-E5A2BFE01CFA}" uniqueName="16" name="Column16" queryTableFieldId="16"/>
    <tableColumn id="17" xr3:uid="{2BC0540B-CDE7-4D38-AD6F-99A2CC2BDCDD}" uniqueName="17" name="Column17" queryTableFieldId="17"/>
    <tableColumn id="18" xr3:uid="{34587797-FBE8-4CB8-9E36-538B55624058}" uniqueName="18" name="Column18" queryTableFieldId="18"/>
    <tableColumn id="19" xr3:uid="{06E064A8-B724-43A5-ABD3-691F70AE78AB}" uniqueName="19" name="Column19" queryTableFieldId="19"/>
    <tableColumn id="20" xr3:uid="{E75DBADA-26CD-4448-9519-A35249638DA1}" uniqueName="20" name="Column20" queryTableFieldId="20"/>
    <tableColumn id="21" xr3:uid="{F05F54C9-908E-450E-A884-69F5ACD8474C}" uniqueName="21" name="Column21" queryTableFieldId="21"/>
    <tableColumn id="22" xr3:uid="{206C8933-F80D-4629-A475-FFC6CA65CF8D}" uniqueName="22" name="Column22" queryTableFieldId="22"/>
    <tableColumn id="23" xr3:uid="{529A4F9D-6A47-4D98-A5B1-0756C9BF73C8}" uniqueName="23" name="Column23" queryTableFieldId="23"/>
    <tableColumn id="24" xr3:uid="{A5B64BAD-D91A-4F60-B401-F6674BCA249D}" uniqueName="24" name="Column24" queryTableFieldId="24"/>
    <tableColumn id="25" xr3:uid="{F2511478-DF19-4B0B-89FB-1D031423BE6B}" uniqueName="25" name="Column25" queryTableFieldId="25"/>
    <tableColumn id="26" xr3:uid="{1B422AB3-B9E8-4D29-888B-D1752E77AC7C}" uniqueName="26" name="Column26" queryTableFieldId="26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B1F20-5790-4E71-BED0-09F5754628B7}">
  <sheetPr codeName="Planilha1"/>
  <dimension ref="A1:AB12"/>
  <sheetViews>
    <sheetView workbookViewId="0"/>
  </sheetViews>
  <sheetFormatPr defaultRowHeight="15" x14ac:dyDescent="0.25"/>
  <cols>
    <col min="1" max="1" width="11.140625" bestFit="1" customWidth="1"/>
    <col min="2" max="2" width="12.28515625" bestFit="1" customWidth="1"/>
    <col min="3" max="9" width="11.140625" bestFit="1" customWidth="1"/>
    <col min="10" max="17" width="12.140625" bestFit="1" customWidth="1"/>
    <col min="18" max="18" width="76.28515625" bestFit="1" customWidth="1"/>
    <col min="19" max="19" width="15.5703125" bestFit="1" customWidth="1"/>
    <col min="20" max="20" width="14.140625" bestFit="1" customWidth="1"/>
    <col min="21" max="21" width="26.28515625" bestFit="1" customWidth="1"/>
    <col min="22" max="24" width="12.140625" bestFit="1" customWidth="1"/>
    <col min="25" max="25" width="31.28515625" bestFit="1" customWidth="1"/>
    <col min="26" max="26" width="27.7109375" bestFit="1" customWidth="1"/>
    <col min="27" max="27" width="12.140625" bestFit="1" customWidth="1"/>
    <col min="28" max="28" width="14.140625" bestFit="1" customWidth="1"/>
  </cols>
  <sheetData>
    <row r="1" spans="1:2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</row>
    <row r="2" spans="1:28" x14ac:dyDescent="0.25">
      <c r="A2" s="32" t="s">
        <v>28</v>
      </c>
      <c r="B2" s="32" t="s">
        <v>29</v>
      </c>
      <c r="C2">
        <v>2750</v>
      </c>
      <c r="D2">
        <v>53527</v>
      </c>
      <c r="E2" s="32" t="s">
        <v>37</v>
      </c>
      <c r="F2">
        <v>106763083</v>
      </c>
      <c r="G2">
        <v>191022</v>
      </c>
      <c r="H2" s="32" t="s">
        <v>31</v>
      </c>
      <c r="I2">
        <v>0</v>
      </c>
      <c r="J2" s="32" t="s">
        <v>32</v>
      </c>
      <c r="K2">
        <v>14</v>
      </c>
      <c r="L2">
        <v>0</v>
      </c>
      <c r="M2">
        <v>0</v>
      </c>
      <c r="N2" s="1">
        <v>1.5150462962962963E-2</v>
      </c>
      <c r="O2">
        <v>1</v>
      </c>
      <c r="P2" s="32" t="s">
        <v>33</v>
      </c>
      <c r="Q2" s="32" t="s">
        <v>28</v>
      </c>
      <c r="R2" s="32" t="s">
        <v>72</v>
      </c>
      <c r="S2" s="32" t="s">
        <v>68</v>
      </c>
      <c r="T2" s="32" t="s">
        <v>34</v>
      </c>
      <c r="U2" s="32" t="s">
        <v>69</v>
      </c>
      <c r="V2" s="2">
        <v>45446</v>
      </c>
      <c r="W2" s="32" t="s">
        <v>28</v>
      </c>
      <c r="X2" s="32" t="s">
        <v>28</v>
      </c>
      <c r="Y2" s="32" t="s">
        <v>69</v>
      </c>
      <c r="Z2" s="32" t="s">
        <v>28</v>
      </c>
      <c r="AA2" s="32" t="s">
        <v>35</v>
      </c>
      <c r="AB2" s="32" t="s">
        <v>36</v>
      </c>
    </row>
    <row r="3" spans="1:28" x14ac:dyDescent="0.25">
      <c r="A3" s="32" t="s">
        <v>28</v>
      </c>
      <c r="B3" s="32" t="s">
        <v>29</v>
      </c>
      <c r="C3">
        <v>3632</v>
      </c>
      <c r="D3">
        <v>36511</v>
      </c>
      <c r="E3" s="32" t="s">
        <v>30</v>
      </c>
      <c r="F3">
        <v>106774759</v>
      </c>
      <c r="G3">
        <v>388122</v>
      </c>
      <c r="H3" s="32" t="s">
        <v>31</v>
      </c>
      <c r="I3">
        <v>52</v>
      </c>
      <c r="J3" s="32" t="s">
        <v>45</v>
      </c>
      <c r="K3">
        <v>39</v>
      </c>
      <c r="L3">
        <v>13</v>
      </c>
      <c r="M3">
        <v>0</v>
      </c>
      <c r="N3" s="1">
        <v>1.4004629629629629E-3</v>
      </c>
      <c r="O3">
        <v>2</v>
      </c>
      <c r="P3" s="32" t="s">
        <v>33</v>
      </c>
      <c r="Q3" s="32" t="s">
        <v>28</v>
      </c>
      <c r="R3" s="32" t="s">
        <v>87</v>
      </c>
      <c r="S3" s="32" t="s">
        <v>79</v>
      </c>
      <c r="T3" s="32" t="s">
        <v>34</v>
      </c>
      <c r="U3" s="32" t="s">
        <v>69</v>
      </c>
      <c r="V3" s="2">
        <v>45446</v>
      </c>
      <c r="W3" s="32" t="s">
        <v>80</v>
      </c>
      <c r="X3" s="32" t="s">
        <v>81</v>
      </c>
      <c r="Y3" s="32" t="s">
        <v>73</v>
      </c>
      <c r="Z3" s="32" t="s">
        <v>28</v>
      </c>
      <c r="AA3" s="32" t="s">
        <v>35</v>
      </c>
      <c r="AB3" s="32" t="s">
        <v>43</v>
      </c>
    </row>
    <row r="4" spans="1:28" x14ac:dyDescent="0.25">
      <c r="A4" s="32" t="s">
        <v>28</v>
      </c>
      <c r="B4" s="32" t="s">
        <v>29</v>
      </c>
      <c r="C4">
        <v>2727</v>
      </c>
      <c r="D4">
        <v>43269</v>
      </c>
      <c r="E4" s="32" t="s">
        <v>30</v>
      </c>
      <c r="F4">
        <v>106769116</v>
      </c>
      <c r="G4">
        <v>161884</v>
      </c>
      <c r="H4" s="32" t="s">
        <v>31</v>
      </c>
      <c r="I4">
        <v>3</v>
      </c>
      <c r="J4" s="32" t="s">
        <v>86</v>
      </c>
      <c r="K4">
        <v>17</v>
      </c>
      <c r="L4">
        <v>6</v>
      </c>
      <c r="M4">
        <v>0</v>
      </c>
      <c r="N4" s="1">
        <v>6.9444444444444447E-4</v>
      </c>
      <c r="O4">
        <v>2</v>
      </c>
      <c r="P4" s="32" t="s">
        <v>33</v>
      </c>
      <c r="Q4" s="32" t="s">
        <v>28</v>
      </c>
      <c r="R4" s="32" t="s">
        <v>82</v>
      </c>
      <c r="S4" s="32" t="s">
        <v>88</v>
      </c>
      <c r="T4" s="32" t="s">
        <v>34</v>
      </c>
      <c r="U4" s="32" t="s">
        <v>70</v>
      </c>
      <c r="V4" s="2">
        <v>45446</v>
      </c>
      <c r="W4" s="32" t="s">
        <v>89</v>
      </c>
      <c r="X4" s="32" t="s">
        <v>90</v>
      </c>
      <c r="Y4" s="32" t="s">
        <v>71</v>
      </c>
      <c r="Z4" s="32" t="s">
        <v>28</v>
      </c>
      <c r="AA4" s="32" t="s">
        <v>35</v>
      </c>
      <c r="AB4" s="32" t="s">
        <v>43</v>
      </c>
    </row>
    <row r="5" spans="1:28" x14ac:dyDescent="0.25">
      <c r="A5" s="32" t="s">
        <v>28</v>
      </c>
      <c r="B5" s="32" t="s">
        <v>29</v>
      </c>
      <c r="C5">
        <v>5494</v>
      </c>
      <c r="D5">
        <v>47955</v>
      </c>
      <c r="E5" s="32" t="s">
        <v>37</v>
      </c>
      <c r="F5">
        <v>106763965</v>
      </c>
      <c r="G5">
        <v>374436</v>
      </c>
      <c r="H5" s="32" t="s">
        <v>31</v>
      </c>
      <c r="I5">
        <v>0</v>
      </c>
      <c r="J5" s="32" t="s">
        <v>32</v>
      </c>
      <c r="K5">
        <v>9</v>
      </c>
      <c r="L5">
        <v>0</v>
      </c>
      <c r="M5">
        <v>0</v>
      </c>
      <c r="N5" s="1">
        <v>6.9444444444444447E-4</v>
      </c>
      <c r="O5">
        <v>1</v>
      </c>
      <c r="P5" s="32" t="s">
        <v>33</v>
      </c>
      <c r="Q5" s="32" t="s">
        <v>28</v>
      </c>
      <c r="R5" s="32" t="s">
        <v>46</v>
      </c>
      <c r="S5" s="32" t="s">
        <v>38</v>
      </c>
      <c r="T5" s="32" t="s">
        <v>39</v>
      </c>
      <c r="U5" s="32" t="s">
        <v>40</v>
      </c>
      <c r="V5" s="2">
        <v>45446</v>
      </c>
      <c r="W5" s="32" t="s">
        <v>28</v>
      </c>
      <c r="X5" s="32" t="s">
        <v>28</v>
      </c>
      <c r="Y5" s="32" t="s">
        <v>41</v>
      </c>
      <c r="Z5" s="32" t="s">
        <v>42</v>
      </c>
      <c r="AA5" s="32" t="s">
        <v>39</v>
      </c>
      <c r="AB5" s="32" t="s">
        <v>39</v>
      </c>
    </row>
    <row r="6" spans="1:28" x14ac:dyDescent="0.25">
      <c r="A6" s="32" t="s">
        <v>28</v>
      </c>
      <c r="B6" s="32" t="s">
        <v>29</v>
      </c>
      <c r="C6">
        <v>2799</v>
      </c>
      <c r="D6">
        <v>1160</v>
      </c>
      <c r="E6" s="32" t="s">
        <v>37</v>
      </c>
      <c r="F6">
        <v>106733881</v>
      </c>
      <c r="G6">
        <v>385576</v>
      </c>
      <c r="H6" s="32" t="s">
        <v>31</v>
      </c>
      <c r="I6">
        <v>2</v>
      </c>
      <c r="J6" s="32" t="s">
        <v>91</v>
      </c>
      <c r="K6">
        <v>106</v>
      </c>
      <c r="L6">
        <v>11</v>
      </c>
      <c r="M6">
        <v>3</v>
      </c>
      <c r="N6" s="1">
        <v>4.1666666666666669E-4</v>
      </c>
      <c r="O6">
        <v>1</v>
      </c>
      <c r="P6" s="32" t="s">
        <v>33</v>
      </c>
      <c r="Q6" s="32" t="s">
        <v>28</v>
      </c>
      <c r="R6" s="32" t="s">
        <v>92</v>
      </c>
      <c r="S6" s="32" t="s">
        <v>93</v>
      </c>
      <c r="T6" s="32" t="s">
        <v>34</v>
      </c>
      <c r="U6" s="32" t="s">
        <v>66</v>
      </c>
      <c r="V6" s="2">
        <v>45446</v>
      </c>
      <c r="W6" s="32" t="s">
        <v>94</v>
      </c>
      <c r="X6" s="32" t="s">
        <v>95</v>
      </c>
      <c r="Y6" s="32" t="s">
        <v>67</v>
      </c>
      <c r="Z6" s="32" t="s">
        <v>28</v>
      </c>
      <c r="AA6" s="32" t="s">
        <v>35</v>
      </c>
      <c r="AB6" s="32" t="s">
        <v>43</v>
      </c>
    </row>
    <row r="7" spans="1:28" x14ac:dyDescent="0.25">
      <c r="A7" s="32" t="s">
        <v>28</v>
      </c>
      <c r="B7" s="32" t="s">
        <v>29</v>
      </c>
      <c r="C7">
        <v>4549</v>
      </c>
      <c r="D7">
        <v>47636</v>
      </c>
      <c r="E7" s="32" t="s">
        <v>30</v>
      </c>
      <c r="F7">
        <v>106775086</v>
      </c>
      <c r="G7">
        <v>39829</v>
      </c>
      <c r="H7" s="32" t="s">
        <v>31</v>
      </c>
      <c r="I7">
        <v>0</v>
      </c>
      <c r="J7" s="32" t="s">
        <v>32</v>
      </c>
      <c r="K7">
        <v>5</v>
      </c>
      <c r="L7">
        <v>2</v>
      </c>
      <c r="M7">
        <v>0</v>
      </c>
      <c r="N7" s="1">
        <v>1.1574074074074073E-5</v>
      </c>
      <c r="O7">
        <v>2</v>
      </c>
      <c r="P7" s="32" t="s">
        <v>33</v>
      </c>
      <c r="Q7" s="32" t="s">
        <v>28</v>
      </c>
      <c r="R7" s="32" t="s">
        <v>96</v>
      </c>
      <c r="S7" s="32" t="s">
        <v>97</v>
      </c>
      <c r="T7" s="32" t="s">
        <v>34</v>
      </c>
      <c r="U7" s="32" t="s">
        <v>61</v>
      </c>
      <c r="V7" s="2">
        <v>45446</v>
      </c>
      <c r="W7" s="32" t="s">
        <v>98</v>
      </c>
      <c r="X7" s="32" t="s">
        <v>99</v>
      </c>
      <c r="Y7" s="32" t="s">
        <v>62</v>
      </c>
      <c r="Z7" s="32" t="s">
        <v>28</v>
      </c>
      <c r="AA7" s="32" t="s">
        <v>35</v>
      </c>
      <c r="AB7" s="32" t="s">
        <v>43</v>
      </c>
    </row>
    <row r="8" spans="1:28" x14ac:dyDescent="0.25">
      <c r="A8" s="32" t="s">
        <v>28</v>
      </c>
      <c r="B8" s="32" t="s">
        <v>29</v>
      </c>
      <c r="C8">
        <v>948</v>
      </c>
      <c r="D8">
        <v>22720</v>
      </c>
      <c r="E8" s="32" t="s">
        <v>37</v>
      </c>
      <c r="F8">
        <v>106775086</v>
      </c>
      <c r="G8">
        <v>359810</v>
      </c>
      <c r="H8" s="32" t="s">
        <v>31</v>
      </c>
      <c r="J8" s="32" t="s">
        <v>32</v>
      </c>
      <c r="K8">
        <v>3</v>
      </c>
      <c r="L8">
        <v>0</v>
      </c>
      <c r="M8">
        <v>0</v>
      </c>
      <c r="N8" s="1">
        <v>0</v>
      </c>
      <c r="O8">
        <v>1</v>
      </c>
      <c r="P8" s="32" t="s">
        <v>33</v>
      </c>
      <c r="Q8" s="32" t="s">
        <v>28</v>
      </c>
      <c r="R8" s="32" t="s">
        <v>64</v>
      </c>
      <c r="S8" s="32" t="s">
        <v>97</v>
      </c>
      <c r="T8" s="32" t="s">
        <v>34</v>
      </c>
      <c r="U8" s="32" t="s">
        <v>100</v>
      </c>
      <c r="V8" s="2">
        <v>45446</v>
      </c>
      <c r="W8" s="32" t="s">
        <v>98</v>
      </c>
      <c r="X8" s="32" t="s">
        <v>99</v>
      </c>
      <c r="Y8" s="32" t="s">
        <v>62</v>
      </c>
      <c r="Z8" s="32" t="s">
        <v>28</v>
      </c>
      <c r="AA8" s="32" t="s">
        <v>39</v>
      </c>
      <c r="AB8" s="32" t="s">
        <v>39</v>
      </c>
    </row>
    <row r="9" spans="1:28" x14ac:dyDescent="0.25">
      <c r="A9" s="32" t="s">
        <v>28</v>
      </c>
      <c r="B9" s="32" t="s">
        <v>29</v>
      </c>
      <c r="C9">
        <v>1873</v>
      </c>
      <c r="D9">
        <v>3851</v>
      </c>
      <c r="E9" s="32" t="s">
        <v>30</v>
      </c>
      <c r="F9">
        <v>106775086</v>
      </c>
      <c r="G9">
        <v>20352</v>
      </c>
      <c r="H9" s="32" t="s">
        <v>31</v>
      </c>
      <c r="J9" s="32" t="s">
        <v>32</v>
      </c>
      <c r="K9">
        <v>3</v>
      </c>
      <c r="L9">
        <v>0</v>
      </c>
      <c r="M9">
        <v>0</v>
      </c>
      <c r="N9" s="1">
        <v>0</v>
      </c>
      <c r="O9">
        <v>2</v>
      </c>
      <c r="P9" s="32" t="s">
        <v>33</v>
      </c>
      <c r="Q9" s="32" t="s">
        <v>28</v>
      </c>
      <c r="R9" s="32" t="s">
        <v>101</v>
      </c>
      <c r="S9" s="32" t="s">
        <v>97</v>
      </c>
      <c r="T9" s="32" t="s">
        <v>34</v>
      </c>
      <c r="U9" s="32" t="s">
        <v>102</v>
      </c>
      <c r="V9" s="2">
        <v>45446</v>
      </c>
      <c r="W9" s="32" t="s">
        <v>98</v>
      </c>
      <c r="X9" s="32" t="s">
        <v>99</v>
      </c>
      <c r="Y9" s="32" t="s">
        <v>62</v>
      </c>
      <c r="Z9" s="32" t="s">
        <v>28</v>
      </c>
      <c r="AA9" s="32" t="s">
        <v>39</v>
      </c>
      <c r="AB9" s="32" t="s">
        <v>39</v>
      </c>
    </row>
    <row r="10" spans="1:28" x14ac:dyDescent="0.25">
      <c r="A10" s="32" t="s">
        <v>28</v>
      </c>
      <c r="B10" s="32" t="s">
        <v>44</v>
      </c>
      <c r="C10">
        <v>5490</v>
      </c>
      <c r="D10">
        <v>61522</v>
      </c>
      <c r="E10" s="32" t="s">
        <v>30</v>
      </c>
      <c r="F10">
        <v>106764006</v>
      </c>
      <c r="G10">
        <v>200343</v>
      </c>
      <c r="H10" s="32" t="s">
        <v>31</v>
      </c>
      <c r="I10">
        <v>0</v>
      </c>
      <c r="J10" s="32" t="s">
        <v>32</v>
      </c>
      <c r="K10">
        <v>7</v>
      </c>
      <c r="L10">
        <v>0</v>
      </c>
      <c r="M10">
        <v>0</v>
      </c>
      <c r="N10" s="1">
        <v>0</v>
      </c>
      <c r="O10">
        <v>2</v>
      </c>
      <c r="P10" s="32" t="s">
        <v>33</v>
      </c>
      <c r="Q10" s="32" t="s">
        <v>28</v>
      </c>
      <c r="R10" s="32" t="s">
        <v>64</v>
      </c>
      <c r="S10" s="32" t="s">
        <v>38</v>
      </c>
      <c r="T10" s="32" t="s">
        <v>39</v>
      </c>
      <c r="U10" s="32" t="s">
        <v>75</v>
      </c>
      <c r="V10" s="2">
        <v>45446</v>
      </c>
      <c r="W10" s="32" t="s">
        <v>28</v>
      </c>
      <c r="X10" s="32" t="s">
        <v>28</v>
      </c>
      <c r="Y10" s="32" t="s">
        <v>63</v>
      </c>
      <c r="Z10" s="32" t="s">
        <v>65</v>
      </c>
      <c r="AA10" s="32" t="s">
        <v>39</v>
      </c>
      <c r="AB10" s="32" t="s">
        <v>39</v>
      </c>
    </row>
    <row r="11" spans="1:28" x14ac:dyDescent="0.25">
      <c r="A11" s="32" t="s">
        <v>28</v>
      </c>
      <c r="B11" s="32" t="s">
        <v>29</v>
      </c>
      <c r="C11">
        <v>4572</v>
      </c>
      <c r="D11">
        <v>42952</v>
      </c>
      <c r="E11" s="32" t="s">
        <v>37</v>
      </c>
      <c r="F11">
        <v>106759063</v>
      </c>
      <c r="G11">
        <v>72851</v>
      </c>
      <c r="H11" s="32" t="s">
        <v>31</v>
      </c>
      <c r="I11">
        <v>4</v>
      </c>
      <c r="J11" s="32" t="s">
        <v>74</v>
      </c>
      <c r="K11">
        <v>17</v>
      </c>
      <c r="L11">
        <v>10</v>
      </c>
      <c r="M11">
        <v>0</v>
      </c>
      <c r="N11" s="1">
        <v>0</v>
      </c>
      <c r="O11">
        <v>1</v>
      </c>
      <c r="P11" s="32" t="s">
        <v>33</v>
      </c>
      <c r="Q11" s="32" t="s">
        <v>28</v>
      </c>
      <c r="R11" s="32" t="s">
        <v>103</v>
      </c>
      <c r="S11" s="32" t="s">
        <v>104</v>
      </c>
      <c r="T11" s="32" t="s">
        <v>34</v>
      </c>
      <c r="U11" s="32" t="s">
        <v>66</v>
      </c>
      <c r="V11" s="2">
        <v>45446</v>
      </c>
      <c r="W11" s="32" t="s">
        <v>105</v>
      </c>
      <c r="X11" s="32" t="s">
        <v>106</v>
      </c>
      <c r="Y11" s="32" t="s">
        <v>67</v>
      </c>
      <c r="Z11" s="32" t="s">
        <v>28</v>
      </c>
      <c r="AA11" s="32" t="s">
        <v>35</v>
      </c>
      <c r="AB11" s="32" t="s">
        <v>43</v>
      </c>
    </row>
    <row r="12" spans="1:28" x14ac:dyDescent="0.25">
      <c r="A12" s="32" t="s">
        <v>28</v>
      </c>
      <c r="B12" s="32" t="s">
        <v>44</v>
      </c>
      <c r="C12">
        <v>6386</v>
      </c>
      <c r="D12">
        <v>20440</v>
      </c>
      <c r="E12" s="32" t="s">
        <v>37</v>
      </c>
      <c r="F12">
        <v>106764006</v>
      </c>
      <c r="G12">
        <v>44709</v>
      </c>
      <c r="H12" s="32" t="s">
        <v>31</v>
      </c>
      <c r="I12">
        <v>0</v>
      </c>
      <c r="J12" s="32" t="s">
        <v>32</v>
      </c>
      <c r="K12">
        <v>7</v>
      </c>
      <c r="L12">
        <v>0</v>
      </c>
      <c r="M12">
        <v>0</v>
      </c>
      <c r="N12" s="1">
        <v>0</v>
      </c>
      <c r="O12">
        <v>1</v>
      </c>
      <c r="P12" s="32" t="s">
        <v>33</v>
      </c>
      <c r="Q12" s="32" t="s">
        <v>28</v>
      </c>
      <c r="R12" s="32" t="s">
        <v>64</v>
      </c>
      <c r="S12" s="32" t="s">
        <v>38</v>
      </c>
      <c r="T12" s="32" t="s">
        <v>39</v>
      </c>
      <c r="U12" s="32" t="s">
        <v>76</v>
      </c>
      <c r="V12" s="2">
        <v>45446</v>
      </c>
      <c r="W12" s="32" t="s">
        <v>28</v>
      </c>
      <c r="X12" s="32" t="s">
        <v>28</v>
      </c>
      <c r="Y12" s="32" t="s">
        <v>63</v>
      </c>
      <c r="Z12" s="32" t="s">
        <v>65</v>
      </c>
      <c r="AA12" s="32" t="s">
        <v>39</v>
      </c>
      <c r="AB12" s="32" t="s">
        <v>39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78D90D-24CD-43A0-965E-A2271E7D8229}">
  <sheetPr codeName="Planilha2"/>
  <dimension ref="A1:O2"/>
  <sheetViews>
    <sheetView workbookViewId="0"/>
  </sheetViews>
  <sheetFormatPr defaultRowHeight="15" x14ac:dyDescent="0.25"/>
  <cols>
    <col min="1" max="9" width="11.140625" bestFit="1" customWidth="1"/>
    <col min="10" max="15" width="12.140625" bestFit="1" customWidth="1"/>
  </cols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</row>
    <row r="2" spans="1:15" x14ac:dyDescent="0.25">
      <c r="D2" s="1"/>
      <c r="N2" s="2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8C8FA-1BF8-4B20-9E29-AF35111CACEC}">
  <sheetPr codeName="Planilha3"/>
  <dimension ref="A1:Z2"/>
  <sheetViews>
    <sheetView workbookViewId="0">
      <selection activeCell="K5" sqref="K5"/>
    </sheetView>
  </sheetViews>
  <sheetFormatPr defaultRowHeight="15" x14ac:dyDescent="0.25"/>
  <cols>
    <col min="1" max="9" width="11.140625" bestFit="1" customWidth="1"/>
    <col min="10" max="26" width="12.140625" bestFit="1" customWidth="1"/>
  </cols>
  <sheetData>
    <row r="1" spans="1:2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</row>
    <row r="2" spans="1:26" x14ac:dyDescent="0.25">
      <c r="G2" s="2"/>
      <c r="H2" s="2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4"/>
  <dimension ref="B2:AF60"/>
  <sheetViews>
    <sheetView tabSelected="1" zoomScale="85" zoomScaleNormal="85" workbookViewId="0">
      <pane ySplit="14" topLeftCell="A15" activePane="bottomLeft" state="frozen"/>
      <selection pane="bottomLeft"/>
    </sheetView>
  </sheetViews>
  <sheetFormatPr defaultColWidth="4.140625" defaultRowHeight="16.5" x14ac:dyDescent="0.3"/>
  <cols>
    <col min="1" max="1" width="4.140625" style="3"/>
    <col min="2" max="5" width="4.140625" style="5"/>
    <col min="6" max="6" width="3.7109375" style="5" customWidth="1"/>
    <col min="7" max="11" width="4.140625" style="5"/>
    <col min="12" max="12" width="4.140625" style="3"/>
    <col min="13" max="14" width="4.7109375" style="3" customWidth="1"/>
    <col min="15" max="36" width="4.140625" style="3"/>
    <col min="37" max="37" width="3.140625" style="3" customWidth="1"/>
    <col min="38" max="16384" width="4.140625" style="3"/>
  </cols>
  <sheetData>
    <row r="2" spans="2:32" s="4" customFormat="1" x14ac:dyDescent="0.25">
      <c r="B2" s="24" t="s">
        <v>77</v>
      </c>
      <c r="C2" s="16"/>
      <c r="D2" s="16"/>
      <c r="E2" s="16"/>
      <c r="F2" s="16"/>
      <c r="G2" s="16"/>
      <c r="H2" s="16"/>
      <c r="I2" s="16"/>
      <c r="J2" s="16"/>
      <c r="K2" s="6"/>
      <c r="L2" s="20" t="s">
        <v>47</v>
      </c>
      <c r="M2" s="20"/>
      <c r="N2" s="20"/>
      <c r="O2" s="20"/>
      <c r="P2" s="20"/>
      <c r="Q2" s="20"/>
      <c r="R2" s="20"/>
      <c r="S2" s="20"/>
      <c r="T2" s="20"/>
      <c r="U2" s="20"/>
      <c r="V2" s="6"/>
      <c r="W2" s="19" t="s">
        <v>48</v>
      </c>
      <c r="X2" s="19"/>
      <c r="Y2" s="19"/>
      <c r="Z2" s="19"/>
      <c r="AA2" s="19"/>
      <c r="AB2" s="19"/>
      <c r="AC2" s="19"/>
      <c r="AD2" s="19"/>
      <c r="AE2" s="19"/>
      <c r="AF2" s="19"/>
    </row>
    <row r="3" spans="2:32" x14ac:dyDescent="0.3">
      <c r="B3" s="23" t="s">
        <v>55</v>
      </c>
      <c r="C3" s="20"/>
      <c r="D3" s="20"/>
      <c r="E3" s="20"/>
      <c r="F3" s="20"/>
      <c r="G3" s="20"/>
      <c r="H3" s="20"/>
      <c r="I3" s="20"/>
      <c r="J3" s="20"/>
      <c r="K3" s="7"/>
      <c r="L3" s="20"/>
      <c r="M3" s="20"/>
      <c r="N3" s="20"/>
      <c r="O3" s="20"/>
      <c r="P3" s="20"/>
      <c r="Q3" s="20"/>
      <c r="R3" s="20"/>
      <c r="S3" s="20"/>
      <c r="T3" s="20"/>
      <c r="U3" s="20"/>
      <c r="V3" s="8"/>
      <c r="W3" s="19"/>
      <c r="X3" s="19"/>
      <c r="Y3" s="19"/>
      <c r="Z3" s="19"/>
      <c r="AA3" s="19"/>
      <c r="AB3" s="19"/>
      <c r="AC3" s="19"/>
      <c r="AD3" s="19"/>
      <c r="AE3" s="19"/>
      <c r="AF3" s="19"/>
    </row>
    <row r="5" spans="2:32" x14ac:dyDescent="0.3">
      <c r="B5" s="25" t="s">
        <v>56</v>
      </c>
      <c r="C5" s="26"/>
      <c r="D5" s="26"/>
      <c r="E5" s="26"/>
      <c r="F5" s="26"/>
      <c r="G5" s="26"/>
      <c r="H5" s="26"/>
      <c r="I5" s="26"/>
      <c r="J5" s="26"/>
      <c r="L5" s="5" t="s">
        <v>60</v>
      </c>
      <c r="M5" s="5"/>
      <c r="N5" s="5"/>
      <c r="O5" s="5"/>
      <c r="P5" s="5"/>
      <c r="Q5" s="5"/>
      <c r="R5" s="5"/>
      <c r="S5" s="5"/>
      <c r="T5" s="12">
        <f>COUNT(db_user_sessions!C:C)</f>
        <v>11</v>
      </c>
      <c r="U5" s="12"/>
      <c r="W5" s="3" t="s">
        <v>48</v>
      </c>
      <c r="AE5" s="13">
        <f>COUNT(db_invalid_objects!D:D)</f>
        <v>0</v>
      </c>
      <c r="AF5" s="13"/>
    </row>
    <row r="6" spans="2:32" x14ac:dyDescent="0.3">
      <c r="B6" s="27">
        <f ca="1">NOW()</f>
        <v>45446.67151388889</v>
      </c>
      <c r="C6" s="20"/>
      <c r="D6" s="20"/>
      <c r="E6" s="20"/>
      <c r="F6" s="20"/>
      <c r="G6" s="20"/>
      <c r="H6" s="20"/>
      <c r="I6" s="20"/>
      <c r="J6" s="20"/>
      <c r="L6" s="5" t="s">
        <v>59</v>
      </c>
      <c r="M6" s="5"/>
      <c r="N6" s="5"/>
      <c r="O6" s="5"/>
      <c r="P6" s="5"/>
      <c r="Q6" s="5"/>
      <c r="R6" s="5"/>
      <c r="S6" s="5"/>
      <c r="T6" s="11">
        <f>COUNT(db_locks!B:B)</f>
        <v>0</v>
      </c>
      <c r="U6" s="11"/>
    </row>
    <row r="7" spans="2:32" x14ac:dyDescent="0.3">
      <c r="B7" s="3"/>
      <c r="C7" s="3"/>
      <c r="D7" s="3"/>
      <c r="E7" s="3"/>
      <c r="F7" s="3"/>
      <c r="G7" s="3"/>
      <c r="H7" s="3"/>
      <c r="I7" s="3"/>
      <c r="J7" s="3"/>
    </row>
    <row r="8" spans="2:32" ht="16.5" customHeight="1" x14ac:dyDescent="0.3">
      <c r="B8" s="21" t="s">
        <v>54</v>
      </c>
      <c r="C8" s="22"/>
      <c r="D8" s="22"/>
      <c r="E8" s="22"/>
      <c r="F8" s="16" t="s">
        <v>57</v>
      </c>
      <c r="G8" s="16"/>
      <c r="H8" s="16"/>
      <c r="I8" s="16" t="s">
        <v>47</v>
      </c>
      <c r="J8" s="16"/>
      <c r="L8" s="30" t="s">
        <v>78</v>
      </c>
      <c r="M8" s="31"/>
      <c r="N8" s="22"/>
      <c r="O8" s="22"/>
      <c r="Q8" s="28" t="s">
        <v>84</v>
      </c>
      <c r="R8" s="29"/>
      <c r="S8" s="29"/>
      <c r="T8" s="22"/>
      <c r="U8" s="22"/>
      <c r="W8" s="28" t="s">
        <v>83</v>
      </c>
      <c r="X8" s="29"/>
      <c r="Y8" s="29"/>
      <c r="Z8" s="9"/>
      <c r="AB8" s="28" t="s">
        <v>85</v>
      </c>
      <c r="AC8" s="29"/>
      <c r="AD8" s="29"/>
      <c r="AE8" s="10"/>
      <c r="AF8" s="9"/>
    </row>
    <row r="9" spans="2:32" x14ac:dyDescent="0.3">
      <c r="B9" s="21"/>
      <c r="C9" s="22"/>
      <c r="D9" s="22"/>
      <c r="E9" s="22"/>
      <c r="F9" s="16" t="s">
        <v>37</v>
      </c>
      <c r="G9" s="16"/>
      <c r="H9" s="16"/>
      <c r="I9" s="16">
        <f>COUNTIF(db_user_sessions!E:E,Dash!F9)</f>
        <v>6</v>
      </c>
      <c r="J9" s="16"/>
      <c r="L9" s="30"/>
      <c r="M9" s="31"/>
      <c r="N9" s="22"/>
      <c r="O9" s="22"/>
      <c r="P9" s="5"/>
      <c r="Q9" s="28"/>
      <c r="R9" s="29"/>
      <c r="S9" s="29"/>
      <c r="T9" s="22"/>
      <c r="U9" s="22"/>
      <c r="W9" s="28"/>
      <c r="X9" s="29"/>
      <c r="Y9" s="29"/>
      <c r="Z9" s="9"/>
      <c r="AB9" s="28"/>
      <c r="AC9" s="29"/>
      <c r="AD9" s="29"/>
      <c r="AE9" s="10"/>
      <c r="AF9" s="9"/>
    </row>
    <row r="10" spans="2:32" x14ac:dyDescent="0.3">
      <c r="B10" s="21"/>
      <c r="C10" s="22"/>
      <c r="D10" s="22"/>
      <c r="E10" s="22"/>
      <c r="F10" s="16" t="s">
        <v>30</v>
      </c>
      <c r="G10" s="16"/>
      <c r="H10" s="16"/>
      <c r="I10" s="16">
        <f>COUNTIF(db_user_sessions!E:E,Dash!F10)</f>
        <v>5</v>
      </c>
      <c r="J10" s="16"/>
      <c r="L10" s="30"/>
      <c r="M10" s="31"/>
      <c r="N10" s="22"/>
      <c r="O10" s="22"/>
      <c r="P10" s="5"/>
      <c r="Q10" s="28"/>
      <c r="R10" s="29"/>
      <c r="S10" s="29"/>
      <c r="T10" s="22"/>
      <c r="U10" s="22"/>
      <c r="W10" s="28"/>
      <c r="X10" s="29"/>
      <c r="Y10" s="29"/>
      <c r="Z10" s="9"/>
      <c r="AB10" s="28"/>
      <c r="AC10" s="29"/>
      <c r="AD10" s="29"/>
      <c r="AE10" s="10"/>
      <c r="AF10" s="9"/>
    </row>
    <row r="12" spans="2:32" ht="26.25" customHeight="1" x14ac:dyDescent="0.3">
      <c r="B12" s="23" t="s">
        <v>58</v>
      </c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</row>
    <row r="13" spans="2:32" ht="9" customHeight="1" x14ac:dyDescent="0.3">
      <c r="B13" s="3" t="str">
        <f>IFERROR(IF(db_user_sessions!#REF!="","",db_user_sessions!#REF!),"")</f>
        <v/>
      </c>
      <c r="C13" s="3"/>
      <c r="D13" s="3"/>
      <c r="E13" s="3"/>
      <c r="F13" s="3" t="str">
        <f>IFERROR(IF(db_user_sessions!#REF!="","",db_user_sessions!#REF!),"")</f>
        <v/>
      </c>
      <c r="G13" s="3"/>
      <c r="H13" s="3"/>
      <c r="I13" s="3"/>
      <c r="J13" s="3"/>
      <c r="K13" s="3"/>
      <c r="L13" s="3" t="str">
        <f>IFERROR(IF(db_user_sessions!#REF!="","",db_user_sessions!#REF!),"")</f>
        <v/>
      </c>
      <c r="O13" s="3" t="str">
        <f>IFERROR(IF(db_user_sessions!#REF!="","",db_user_sessions!#REF!),"")</f>
        <v/>
      </c>
      <c r="R13" s="3" t="str">
        <f>IFERROR(IF(db_user_sessions!#REF!="","",db_user_sessions!#REF!),"")</f>
        <v/>
      </c>
      <c r="Z13" s="3" t="str">
        <f>IFERROR(IF(db_user_sessions!#REF!="","",db_user_sessions!#REF!),"")</f>
        <v/>
      </c>
    </row>
    <row r="14" spans="2:32" ht="19.5" customHeight="1" x14ac:dyDescent="0.3">
      <c r="B14" s="17" t="s">
        <v>50</v>
      </c>
      <c r="C14" s="18"/>
      <c r="D14" s="18"/>
      <c r="E14" s="18"/>
      <c r="F14" s="18" t="s">
        <v>51</v>
      </c>
      <c r="G14" s="18"/>
      <c r="H14" s="18"/>
      <c r="I14" s="18"/>
      <c r="J14" s="18"/>
      <c r="K14" s="18"/>
      <c r="L14" s="18" t="s">
        <v>52</v>
      </c>
      <c r="M14" s="18"/>
      <c r="N14" s="18"/>
      <c r="O14" s="18" t="s">
        <v>49</v>
      </c>
      <c r="P14" s="18"/>
      <c r="Q14" s="18"/>
      <c r="R14" s="33" t="s">
        <v>53</v>
      </c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</row>
    <row r="15" spans="2:32" x14ac:dyDescent="0.3">
      <c r="B15" s="14" t="str">
        <f>IFERROR(IF(db_user_sessions!B2="","",db_user_sessions!B2),"")</f>
        <v>Consinco</v>
      </c>
      <c r="C15" s="14"/>
      <c r="D15" s="14"/>
      <c r="E15" s="14"/>
      <c r="F15" s="15" t="str">
        <f>IFERROR(IF(db_user_sessions!S2="","",db_user_sessions!S2),"")</f>
        <v>Victor.Freitas</v>
      </c>
      <c r="G15" s="15"/>
      <c r="H15" s="15"/>
      <c r="I15" s="15"/>
      <c r="J15" s="15"/>
      <c r="K15" s="15"/>
      <c r="L15" s="15" t="str">
        <f>IFERROR(IF(db_user_sessions!X2="","",db_user_sessions!X2),"")</f>
        <v/>
      </c>
      <c r="M15" s="15"/>
      <c r="N15" s="15"/>
      <c r="O15" s="15">
        <f>IFERROR(IF(db_user_sessions!N2="","",db_user_sessions!N2),"")</f>
        <v>1.5150462962962963E-2</v>
      </c>
      <c r="P15" s="15"/>
      <c r="Q15" s="15"/>
      <c r="R15" s="15" t="str">
        <f>IFERROR(IF(db_user_sessions!U2="","",db_user_sessions!U2),"")</f>
        <v>Gerencial.Exe</v>
      </c>
      <c r="S15" s="15"/>
      <c r="T15" s="15"/>
      <c r="U15" s="15"/>
      <c r="V15" s="15"/>
      <c r="W15" s="15"/>
      <c r="X15" s="15"/>
      <c r="Y15" s="15"/>
      <c r="Z15" s="15" t="str">
        <f>IFERROR(IF(db_user_sessions!Z2="","",db_user_sessions!Z2),"")</f>
        <v/>
      </c>
      <c r="AA15" s="15"/>
      <c r="AB15" s="15"/>
      <c r="AC15" s="15"/>
      <c r="AD15" s="15"/>
      <c r="AE15" s="15"/>
      <c r="AF15" s="15"/>
    </row>
    <row r="16" spans="2:32" x14ac:dyDescent="0.3">
      <c r="B16" s="14" t="str">
        <f>IFERROR(IF(db_user_sessions!B3="","",db_user_sessions!B3),"")</f>
        <v>Consinco</v>
      </c>
      <c r="C16" s="14"/>
      <c r="D16" s="14"/>
      <c r="E16" s="14"/>
      <c r="F16" s="15" t="str">
        <f>IFERROR(IF(db_user_sessions!S3="","",db_user_sessions!S3),"")</f>
        <v>Tatiana.Batista</v>
      </c>
      <c r="G16" s="15"/>
      <c r="H16" s="15"/>
      <c r="I16" s="15"/>
      <c r="J16" s="15"/>
      <c r="K16" s="15"/>
      <c r="L16" s="15" t="str">
        <f>IFERROR(IF(db_user_sessions!X3="","",db_user_sessions!X3),"")</f>
        <v>TPAULA</v>
      </c>
      <c r="M16" s="15"/>
      <c r="N16" s="15"/>
      <c r="O16" s="15">
        <f>IFERROR(IF(db_user_sessions!N3="","",db_user_sessions!N3),"")</f>
        <v>1.4004629629629629E-3</v>
      </c>
      <c r="P16" s="15"/>
      <c r="Q16" s="15"/>
      <c r="R16" s="15" t="str">
        <f>IFERROR(IF(db_user_sessions!U3="","",db_user_sessions!U3),"")</f>
        <v>Gerencial.Exe</v>
      </c>
      <c r="S16" s="15"/>
      <c r="T16" s="15"/>
      <c r="U16" s="15"/>
      <c r="V16" s="15"/>
      <c r="W16" s="15"/>
      <c r="X16" s="15"/>
      <c r="Y16" s="15"/>
      <c r="Z16" s="15" t="str">
        <f>IFERROR(IF(db_user_sessions!Z3="","",db_user_sessions!Z3),"")</f>
        <v/>
      </c>
      <c r="AA16" s="15"/>
      <c r="AB16" s="15"/>
      <c r="AC16" s="15"/>
      <c r="AD16" s="15"/>
      <c r="AE16" s="15"/>
      <c r="AF16" s="15"/>
    </row>
    <row r="17" spans="2:32" x14ac:dyDescent="0.3">
      <c r="B17" s="14" t="str">
        <f>IFERROR(IF(db_user_sessions!B4="","",db_user_sessions!B4),"")</f>
        <v>Consinco</v>
      </c>
      <c r="C17" s="14"/>
      <c r="D17" s="14"/>
      <c r="E17" s="14"/>
      <c r="F17" s="15" t="str">
        <f>IFERROR(IF(db_user_sessions!S4="","",db_user_sessions!S4),"")</f>
        <v>Jose.Fernandes</v>
      </c>
      <c r="G17" s="15"/>
      <c r="H17" s="15"/>
      <c r="I17" s="15"/>
      <c r="J17" s="15"/>
      <c r="K17" s="15"/>
      <c r="L17" s="15" t="str">
        <f>IFERROR(IF(db_user_sessions!X4="","",db_user_sessions!X4),"")</f>
        <v>JSAMPAIO</v>
      </c>
      <c r="M17" s="15"/>
      <c r="N17" s="15"/>
      <c r="O17" s="15">
        <f>IFERROR(IF(db_user_sessions!N4="","",db_user_sessions!N4),"")</f>
        <v>6.9444444444444447E-4</v>
      </c>
      <c r="P17" s="15"/>
      <c r="Q17" s="15"/>
      <c r="R17" s="15" t="str">
        <f>IFERROR(IF(db_user_sessions!U4="","",db_user_sessions!U4),"")</f>
        <v>Tesouraria.Exe</v>
      </c>
      <c r="S17" s="15"/>
      <c r="T17" s="15"/>
      <c r="U17" s="15"/>
      <c r="V17" s="15"/>
      <c r="W17" s="15"/>
      <c r="X17" s="15"/>
      <c r="Y17" s="15"/>
      <c r="Z17" s="15" t="str">
        <f>IFERROR(IF(db_user_sessions!Z4="","",db_user_sessions!Z4),"")</f>
        <v/>
      </c>
      <c r="AA17" s="15"/>
      <c r="AB17" s="15"/>
      <c r="AC17" s="15"/>
      <c r="AD17" s="15"/>
      <c r="AE17" s="15"/>
      <c r="AF17" s="15"/>
    </row>
    <row r="18" spans="2:32" x14ac:dyDescent="0.3">
      <c r="B18" s="14" t="str">
        <f>IFERROR(IF(db_user_sessions!B5="","",db_user_sessions!B5),"")</f>
        <v>Consinco</v>
      </c>
      <c r="C18" s="14"/>
      <c r="D18" s="14"/>
      <c r="E18" s="14"/>
      <c r="F18" s="15" t="str">
        <f>IFERROR(IF(db_user_sessions!S5="","",db_user_sessions!S5),"")</f>
        <v>Oracle</v>
      </c>
      <c r="G18" s="15"/>
      <c r="H18" s="15"/>
      <c r="I18" s="15"/>
      <c r="J18" s="15"/>
      <c r="K18" s="15"/>
      <c r="L18" s="15" t="str">
        <f>IFERROR(IF(db_user_sessions!X5="","",db_user_sessions!X5),"")</f>
        <v/>
      </c>
      <c r="M18" s="15"/>
      <c r="N18" s="15"/>
      <c r="O18" s="15">
        <f>IFERROR(IF(db_user_sessions!N5="","",db_user_sessions!N5),"")</f>
        <v>6.9444444444444447E-4</v>
      </c>
      <c r="P18" s="15"/>
      <c r="Q18" s="15"/>
      <c r="R18" s="15" t="str">
        <f>IFERROR(IF(db_user_sessions!U5="","",db_user_sessions!U5),"")</f>
        <v>Oracle@Nagu-2hdrr1 (J000)</v>
      </c>
      <c r="S18" s="15"/>
      <c r="T18" s="15"/>
      <c r="U18" s="15"/>
      <c r="V18" s="15"/>
      <c r="W18" s="15"/>
      <c r="X18" s="15"/>
      <c r="Y18" s="15"/>
      <c r="Z18" s="15" t="str">
        <f>IFERROR(IF(db_user_sessions!Z5="","",db_user_sessions!Z5),"")</f>
        <v>Sm_Atualiza_Custoverba_Pdv</v>
      </c>
      <c r="AA18" s="15"/>
      <c r="AB18" s="15"/>
      <c r="AC18" s="15"/>
      <c r="AD18" s="15"/>
      <c r="AE18" s="15"/>
      <c r="AF18" s="15"/>
    </row>
    <row r="19" spans="2:32" x14ac:dyDescent="0.3">
      <c r="B19" s="14" t="str">
        <f>IFERROR(IF(db_user_sessions!B6="","",db_user_sessions!B6),"")</f>
        <v>Consinco</v>
      </c>
      <c r="C19" s="14"/>
      <c r="D19" s="14"/>
      <c r="E19" s="14"/>
      <c r="F19" s="15" t="str">
        <f>IFERROR(IF(db_user_sessions!S6="","",db_user_sessions!S6),"")</f>
        <v>Julia.Santos</v>
      </c>
      <c r="G19" s="15"/>
      <c r="H19" s="15"/>
      <c r="I19" s="15"/>
      <c r="J19" s="15"/>
      <c r="K19" s="15"/>
      <c r="L19" s="15" t="str">
        <f>IFERROR(IF(db_user_sessions!X6="","",db_user_sessions!X6),"")</f>
        <v>JUALVES</v>
      </c>
      <c r="M19" s="15"/>
      <c r="N19" s="15"/>
      <c r="O19" s="15">
        <f>IFERROR(IF(db_user_sessions!N6="","",db_user_sessions!N6),"")</f>
        <v>4.1666666666666669E-4</v>
      </c>
      <c r="P19" s="15"/>
      <c r="Q19" s="15"/>
      <c r="R19" s="15" t="str">
        <f>IFERROR(IF(db_user_sessions!U6="","",db_user_sessions!U6),"")</f>
        <v>Compras.Exe</v>
      </c>
      <c r="S19" s="15"/>
      <c r="T19" s="15"/>
      <c r="U19" s="15"/>
      <c r="V19" s="15"/>
      <c r="W19" s="15"/>
      <c r="X19" s="15"/>
      <c r="Y19" s="15"/>
      <c r="Z19" s="15" t="str">
        <f>IFERROR(IF(db_user_sessions!Z6="","",db_user_sessions!Z6),"")</f>
        <v/>
      </c>
      <c r="AA19" s="15"/>
      <c r="AB19" s="15"/>
      <c r="AC19" s="15"/>
      <c r="AD19" s="15"/>
      <c r="AE19" s="15"/>
      <c r="AF19" s="15"/>
    </row>
    <row r="20" spans="2:32" x14ac:dyDescent="0.3">
      <c r="B20" s="14" t="str">
        <f>IFERROR(IF(db_user_sessions!B7="","",db_user_sessions!B7),"")</f>
        <v>Consinco</v>
      </c>
      <c r="C20" s="14"/>
      <c r="D20" s="14"/>
      <c r="E20" s="14"/>
      <c r="F20" s="15" t="str">
        <f>IFERROR(IF(db_user_sessions!S7="","",db_user_sessions!S7),"")</f>
        <v>Cleonice.Silva</v>
      </c>
      <c r="G20" s="15"/>
      <c r="H20" s="15"/>
      <c r="I20" s="15"/>
      <c r="J20" s="15"/>
      <c r="K20" s="15"/>
      <c r="L20" s="15" t="str">
        <f>IFERROR(IF(db_user_sessions!X7="","",db_user_sessions!X7),"")</f>
        <v>CMARIA</v>
      </c>
      <c r="M20" s="15"/>
      <c r="N20" s="15"/>
      <c r="O20" s="15">
        <f>IFERROR(IF(db_user_sessions!N7="","",db_user_sessions!N7),"")</f>
        <v>1.1574074074074073E-5</v>
      </c>
      <c r="P20" s="15"/>
      <c r="Q20" s="15"/>
      <c r="R20" s="15" t="str">
        <f>IFERROR(IF(db_user_sessions!U7="","",db_user_sessions!U7),"")</f>
        <v>Recebimento.Exe</v>
      </c>
      <c r="S20" s="15"/>
      <c r="T20" s="15"/>
      <c r="U20" s="15"/>
      <c r="V20" s="15"/>
      <c r="W20" s="15"/>
      <c r="X20" s="15"/>
      <c r="Y20" s="15"/>
      <c r="Z20" s="15" t="str">
        <f>IFERROR(IF(db_user_sessions!Z7="","",db_user_sessions!Z7),"")</f>
        <v/>
      </c>
      <c r="AA20" s="15"/>
      <c r="AB20" s="15"/>
      <c r="AC20" s="15"/>
      <c r="AD20" s="15"/>
      <c r="AE20" s="15"/>
      <c r="AF20" s="15"/>
    </row>
    <row r="21" spans="2:32" x14ac:dyDescent="0.3">
      <c r="B21" s="14" t="str">
        <f>IFERROR(IF(db_user_sessions!B8="","",db_user_sessions!B8),"")</f>
        <v>Consinco</v>
      </c>
      <c r="C21" s="14"/>
      <c r="D21" s="14"/>
      <c r="E21" s="14"/>
      <c r="F21" s="15" t="str">
        <f>IFERROR(IF(db_user_sessions!S8="","",db_user_sessions!S8),"")</f>
        <v>Cleonice.Silva</v>
      </c>
      <c r="G21" s="15"/>
      <c r="H21" s="15"/>
      <c r="I21" s="15"/>
      <c r="J21" s="15"/>
      <c r="K21" s="15"/>
      <c r="L21" s="15" t="str">
        <f>IFERROR(IF(db_user_sessions!X8="","",db_user_sessions!X8),"")</f>
        <v>CMARIA</v>
      </c>
      <c r="M21" s="15"/>
      <c r="N21" s="15"/>
      <c r="O21" s="15">
        <f>IFERROR(IF(db_user_sessions!N8="","",db_user_sessions!N8),"")</f>
        <v>0</v>
      </c>
      <c r="P21" s="15"/>
      <c r="Q21" s="15"/>
      <c r="R21" s="15" t="str">
        <f>IFERROR(IF(db_user_sessions!U8="","",db_user_sessions!U8),"")</f>
        <v>Oracle@Nagu-2hdrr1 (Ppa3)</v>
      </c>
      <c r="S21" s="15"/>
      <c r="T21" s="15"/>
      <c r="U21" s="15"/>
      <c r="V21" s="15"/>
      <c r="W21" s="15"/>
      <c r="X21" s="15"/>
      <c r="Y21" s="15"/>
      <c r="Z21" s="15" t="str">
        <f>IFERROR(IF(db_user_sessions!Z8="","",db_user_sessions!Z8),"")</f>
        <v/>
      </c>
      <c r="AA21" s="15"/>
      <c r="AB21" s="15"/>
      <c r="AC21" s="15"/>
      <c r="AD21" s="15"/>
      <c r="AE21" s="15"/>
      <c r="AF21" s="15"/>
    </row>
    <row r="22" spans="2:32" x14ac:dyDescent="0.3">
      <c r="B22" s="14" t="str">
        <f>IFERROR(IF(db_user_sessions!B9="","",db_user_sessions!B9),"")</f>
        <v>Consinco</v>
      </c>
      <c r="C22" s="14"/>
      <c r="D22" s="14"/>
      <c r="E22" s="14"/>
      <c r="F22" s="15" t="str">
        <f>IFERROR(IF(db_user_sessions!S9="","",db_user_sessions!S9),"")</f>
        <v>Cleonice.Silva</v>
      </c>
      <c r="G22" s="15"/>
      <c r="H22" s="15"/>
      <c r="I22" s="15"/>
      <c r="J22" s="15"/>
      <c r="K22" s="15"/>
      <c r="L22" s="15" t="str">
        <f>IFERROR(IF(db_user_sessions!X9="","",db_user_sessions!X9),"")</f>
        <v>CMARIA</v>
      </c>
      <c r="M22" s="15"/>
      <c r="N22" s="15"/>
      <c r="O22" s="15">
        <f>IFERROR(IF(db_user_sessions!N9="","",db_user_sessions!N9),"")</f>
        <v>0</v>
      </c>
      <c r="P22" s="15"/>
      <c r="Q22" s="15"/>
      <c r="R22" s="15" t="str">
        <f>IFERROR(IF(db_user_sessions!U9="","",db_user_sessions!U9),"")</f>
        <v>Oracle@Nagu-2hdrr2 (Ppa3)</v>
      </c>
      <c r="S22" s="15"/>
      <c r="T22" s="15"/>
      <c r="U22" s="15"/>
      <c r="V22" s="15"/>
      <c r="W22" s="15"/>
      <c r="X22" s="15"/>
      <c r="Y22" s="15"/>
      <c r="Z22" s="15" t="str">
        <f>IFERROR(IF(db_user_sessions!Z9="","",db_user_sessions!Z9),"")</f>
        <v/>
      </c>
      <c r="AA22" s="15"/>
      <c r="AB22" s="15"/>
      <c r="AC22" s="15"/>
      <c r="AD22" s="15"/>
      <c r="AE22" s="15"/>
      <c r="AF22" s="15"/>
    </row>
    <row r="23" spans="2:32" x14ac:dyDescent="0.3">
      <c r="B23" s="14" t="str">
        <f>IFERROR(IF(db_user_sessions!B10="","",db_user_sessions!B10),"")</f>
        <v>Admgiuliano</v>
      </c>
      <c r="C23" s="14"/>
      <c r="D23" s="14"/>
      <c r="E23" s="14"/>
      <c r="F23" s="15" t="str">
        <f>IFERROR(IF(db_user_sessions!S10="","",db_user_sessions!S10),"")</f>
        <v>Oracle</v>
      </c>
      <c r="G23" s="15"/>
      <c r="H23" s="15"/>
      <c r="I23" s="15"/>
      <c r="J23" s="15"/>
      <c r="K23" s="15"/>
      <c r="L23" s="15" t="str">
        <f>IFERROR(IF(db_user_sessions!X10="","",db_user_sessions!X10),"")</f>
        <v/>
      </c>
      <c r="M23" s="15"/>
      <c r="N23" s="15"/>
      <c r="O23" s="15">
        <f>IFERROR(IF(db_user_sessions!N10="","",db_user_sessions!N10),"")</f>
        <v>0</v>
      </c>
      <c r="P23" s="15"/>
      <c r="Q23" s="15"/>
      <c r="R23" s="15" t="str">
        <f>IFERROR(IF(db_user_sessions!U10="","",db_user_sessions!U10),"")</f>
        <v>Oracle@Nagu-2hdrr2 (Ppa4)</v>
      </c>
      <c r="S23" s="15"/>
      <c r="T23" s="15"/>
      <c r="U23" s="15"/>
      <c r="V23" s="15"/>
      <c r="W23" s="15"/>
      <c r="X23" s="15"/>
      <c r="Y23" s="15"/>
      <c r="Z23" s="15" t="str">
        <f>IFERROR(IF(db_user_sessions!Z10="","",db_user_sessions!Z10),"")</f>
        <v>Nagj_Dbmonitor_Data</v>
      </c>
      <c r="AA23" s="15"/>
      <c r="AB23" s="15"/>
      <c r="AC23" s="15"/>
      <c r="AD23" s="15"/>
      <c r="AE23" s="15"/>
      <c r="AF23" s="15"/>
    </row>
    <row r="24" spans="2:32" x14ac:dyDescent="0.3">
      <c r="B24" s="14" t="str">
        <f>IFERROR(IF(db_user_sessions!B11="","",db_user_sessions!B11),"")</f>
        <v>Consinco</v>
      </c>
      <c r="C24" s="14"/>
      <c r="D24" s="14"/>
      <c r="E24" s="14"/>
      <c r="F24" s="15" t="str">
        <f>IFERROR(IF(db_user_sessions!S11="","",db_user_sessions!S11),"")</f>
        <v>Rebeca.Nagumo</v>
      </c>
      <c r="G24" s="15"/>
      <c r="H24" s="15"/>
      <c r="I24" s="15"/>
      <c r="J24" s="15"/>
      <c r="K24" s="15"/>
      <c r="L24" s="15" t="str">
        <f>IFERROR(IF(db_user_sessions!X11="","",db_user_sessions!X11),"")</f>
        <v>REBECA</v>
      </c>
      <c r="M24" s="15"/>
      <c r="N24" s="15"/>
      <c r="O24" s="15">
        <f>IFERROR(IF(db_user_sessions!N11="","",db_user_sessions!N11),"")</f>
        <v>0</v>
      </c>
      <c r="P24" s="15"/>
      <c r="Q24" s="15"/>
      <c r="R24" s="15" t="str">
        <f>IFERROR(IF(db_user_sessions!U11="","",db_user_sessions!U11),"")</f>
        <v>Compras.Exe</v>
      </c>
      <c r="S24" s="15"/>
      <c r="T24" s="15"/>
      <c r="U24" s="15"/>
      <c r="V24" s="15"/>
      <c r="W24" s="15"/>
      <c r="X24" s="15"/>
      <c r="Y24" s="15"/>
      <c r="Z24" s="15" t="str">
        <f>IFERROR(IF(db_user_sessions!Z11="","",db_user_sessions!Z11),"")</f>
        <v/>
      </c>
      <c r="AA24" s="15"/>
      <c r="AB24" s="15"/>
      <c r="AC24" s="15"/>
      <c r="AD24" s="15"/>
      <c r="AE24" s="15"/>
      <c r="AF24" s="15"/>
    </row>
    <row r="25" spans="2:32" x14ac:dyDescent="0.3">
      <c r="B25" s="14" t="str">
        <f>IFERROR(IF(db_user_sessions!#REF!="","",db_user_sessions!#REF!),"")</f>
        <v/>
      </c>
      <c r="C25" s="14"/>
      <c r="D25" s="14"/>
      <c r="E25" s="14"/>
      <c r="F25" s="15" t="str">
        <f>IFERROR(IF(db_user_sessions!#REF!="","",db_user_sessions!#REF!),"")</f>
        <v/>
      </c>
      <c r="G25" s="15"/>
      <c r="H25" s="15"/>
      <c r="I25" s="15"/>
      <c r="J25" s="15"/>
      <c r="K25" s="15"/>
      <c r="L25" s="15" t="str">
        <f>IFERROR(IF(db_user_sessions!#REF!="","",db_user_sessions!#REF!),"")</f>
        <v/>
      </c>
      <c r="M25" s="15"/>
      <c r="N25" s="15"/>
      <c r="O25" s="15" t="str">
        <f>IFERROR(IF(db_user_sessions!#REF!="","",db_user_sessions!#REF!),"")</f>
        <v/>
      </c>
      <c r="P25" s="15"/>
      <c r="Q25" s="15"/>
      <c r="R25" s="15" t="str">
        <f>IFERROR(IF(db_user_sessions!#REF!="","",db_user_sessions!#REF!),"")</f>
        <v/>
      </c>
      <c r="S25" s="15"/>
      <c r="T25" s="15"/>
      <c r="U25" s="15"/>
      <c r="V25" s="15"/>
      <c r="W25" s="15"/>
      <c r="X25" s="15"/>
      <c r="Y25" s="15"/>
      <c r="Z25" s="15" t="str">
        <f>IFERROR(IF(db_user_sessions!#REF!="","",db_user_sessions!#REF!),"")</f>
        <v/>
      </c>
      <c r="AA25" s="15"/>
      <c r="AB25" s="15"/>
      <c r="AC25" s="15"/>
      <c r="AD25" s="15"/>
      <c r="AE25" s="15"/>
      <c r="AF25" s="15"/>
    </row>
    <row r="26" spans="2:32" x14ac:dyDescent="0.3">
      <c r="B26" s="14" t="str">
        <f>IFERROR(IF(db_user_sessions!#REF!="","",db_user_sessions!#REF!),"")</f>
        <v/>
      </c>
      <c r="C26" s="14"/>
      <c r="D26" s="14"/>
      <c r="E26" s="14"/>
      <c r="F26" s="15" t="str">
        <f>IFERROR(IF(db_user_sessions!#REF!="","",db_user_sessions!#REF!),"")</f>
        <v/>
      </c>
      <c r="G26" s="15"/>
      <c r="H26" s="15"/>
      <c r="I26" s="15"/>
      <c r="J26" s="15"/>
      <c r="K26" s="15"/>
      <c r="L26" s="15" t="str">
        <f>IFERROR(IF(db_user_sessions!#REF!="","",db_user_sessions!#REF!),"")</f>
        <v/>
      </c>
      <c r="M26" s="15"/>
      <c r="N26" s="15"/>
      <c r="O26" s="15" t="str">
        <f>IFERROR(IF(db_user_sessions!#REF!="","",db_user_sessions!#REF!),"")</f>
        <v/>
      </c>
      <c r="P26" s="15"/>
      <c r="Q26" s="15"/>
      <c r="R26" s="15" t="str">
        <f>IFERROR(IF(db_user_sessions!#REF!="","",db_user_sessions!#REF!),"")</f>
        <v/>
      </c>
      <c r="S26" s="15"/>
      <c r="T26" s="15"/>
      <c r="U26" s="15"/>
      <c r="V26" s="15"/>
      <c r="W26" s="15"/>
      <c r="X26" s="15"/>
      <c r="Y26" s="15"/>
      <c r="Z26" s="15" t="str">
        <f>IFERROR(IF(db_user_sessions!#REF!="","",db_user_sessions!#REF!),"")</f>
        <v/>
      </c>
      <c r="AA26" s="15"/>
      <c r="AB26" s="15"/>
      <c r="AC26" s="15"/>
      <c r="AD26" s="15"/>
      <c r="AE26" s="15"/>
      <c r="AF26" s="15"/>
    </row>
    <row r="27" spans="2:32" x14ac:dyDescent="0.3">
      <c r="B27" s="14" t="str">
        <f>IFERROR(IF(db_user_sessions!#REF!="","",db_user_sessions!#REF!),"")</f>
        <v/>
      </c>
      <c r="C27" s="14"/>
      <c r="D27" s="14"/>
      <c r="E27" s="14"/>
      <c r="F27" s="15" t="str">
        <f>IFERROR(IF(db_user_sessions!#REF!="","",db_user_sessions!#REF!),"")</f>
        <v/>
      </c>
      <c r="G27" s="15"/>
      <c r="H27" s="15"/>
      <c r="I27" s="15"/>
      <c r="J27" s="15"/>
      <c r="K27" s="15"/>
      <c r="L27" s="15" t="str">
        <f>IFERROR(IF(db_user_sessions!#REF!="","",db_user_sessions!#REF!),"")</f>
        <v/>
      </c>
      <c r="M27" s="15"/>
      <c r="N27" s="15"/>
      <c r="O27" s="15" t="str">
        <f>IFERROR(IF(db_user_sessions!#REF!="","",db_user_sessions!#REF!),"")</f>
        <v/>
      </c>
      <c r="P27" s="15"/>
      <c r="Q27" s="15"/>
      <c r="R27" s="15" t="str">
        <f>IFERROR(IF(db_user_sessions!#REF!="","",db_user_sessions!#REF!),"")</f>
        <v/>
      </c>
      <c r="S27" s="15"/>
      <c r="T27" s="15"/>
      <c r="U27" s="15"/>
      <c r="V27" s="15"/>
      <c r="W27" s="15"/>
      <c r="X27" s="15"/>
      <c r="Y27" s="15"/>
      <c r="Z27" s="15" t="str">
        <f>IFERROR(IF(db_user_sessions!#REF!="","",db_user_sessions!#REF!),"")</f>
        <v/>
      </c>
      <c r="AA27" s="15"/>
      <c r="AB27" s="15"/>
      <c r="AC27" s="15"/>
      <c r="AD27" s="15"/>
      <c r="AE27" s="15"/>
      <c r="AF27" s="15"/>
    </row>
    <row r="28" spans="2:32" x14ac:dyDescent="0.3">
      <c r="B28" s="14" t="str">
        <f>IFERROR(IF(db_user_sessions!#REF!="","",db_user_sessions!#REF!),"")</f>
        <v/>
      </c>
      <c r="C28" s="14"/>
      <c r="D28" s="14"/>
      <c r="E28" s="14"/>
      <c r="F28" s="15" t="str">
        <f>IFERROR(IF(db_user_sessions!#REF!="","",db_user_sessions!#REF!),"")</f>
        <v/>
      </c>
      <c r="G28" s="15"/>
      <c r="H28" s="15"/>
      <c r="I28" s="15"/>
      <c r="J28" s="15"/>
      <c r="K28" s="15"/>
      <c r="L28" s="15" t="str">
        <f>IFERROR(IF(db_user_sessions!#REF!="","",db_user_sessions!#REF!),"")</f>
        <v/>
      </c>
      <c r="M28" s="15"/>
      <c r="N28" s="15"/>
      <c r="O28" s="15" t="str">
        <f>IFERROR(IF(db_user_sessions!#REF!="","",db_user_sessions!#REF!),"")</f>
        <v/>
      </c>
      <c r="P28" s="15"/>
      <c r="Q28" s="15"/>
      <c r="R28" s="15" t="str">
        <f>IFERROR(IF(db_user_sessions!#REF!="","",db_user_sessions!#REF!),"")</f>
        <v/>
      </c>
      <c r="S28" s="15"/>
      <c r="T28" s="15"/>
      <c r="U28" s="15"/>
      <c r="V28" s="15"/>
      <c r="W28" s="15"/>
      <c r="X28" s="15"/>
      <c r="Y28" s="15"/>
      <c r="Z28" s="15" t="str">
        <f>IFERROR(IF(db_user_sessions!#REF!="","",db_user_sessions!#REF!),"")</f>
        <v/>
      </c>
      <c r="AA28" s="15"/>
      <c r="AB28" s="15"/>
      <c r="AC28" s="15"/>
      <c r="AD28" s="15"/>
      <c r="AE28" s="15"/>
      <c r="AF28" s="15"/>
    </row>
    <row r="29" spans="2:32" x14ac:dyDescent="0.3">
      <c r="B29" s="14" t="str">
        <f>IFERROR(IF(db_user_sessions!#REF!="","",db_user_sessions!#REF!),"")</f>
        <v/>
      </c>
      <c r="C29" s="14"/>
      <c r="D29" s="14"/>
      <c r="E29" s="14"/>
      <c r="F29" s="15" t="str">
        <f>IFERROR(IF(db_user_sessions!#REF!="","",db_user_sessions!#REF!),"")</f>
        <v/>
      </c>
      <c r="G29" s="15"/>
      <c r="H29" s="15"/>
      <c r="I29" s="15"/>
      <c r="J29" s="15"/>
      <c r="K29" s="15"/>
      <c r="L29" s="15" t="str">
        <f>IFERROR(IF(db_user_sessions!#REF!="","",db_user_sessions!#REF!),"")</f>
        <v/>
      </c>
      <c r="M29" s="15"/>
      <c r="N29" s="15"/>
      <c r="O29" s="15" t="str">
        <f>IFERROR(IF(db_user_sessions!#REF!="","",db_user_sessions!#REF!),"")</f>
        <v/>
      </c>
      <c r="P29" s="15"/>
      <c r="Q29" s="15"/>
      <c r="R29" s="15" t="str">
        <f>IFERROR(IF(db_user_sessions!#REF!="","",db_user_sessions!#REF!),"")</f>
        <v/>
      </c>
      <c r="S29" s="15"/>
      <c r="T29" s="15"/>
      <c r="U29" s="15"/>
      <c r="V29" s="15"/>
      <c r="W29" s="15"/>
      <c r="X29" s="15"/>
      <c r="Y29" s="15"/>
      <c r="Z29" s="15" t="str">
        <f>IFERROR(IF(db_user_sessions!#REF!="","",db_user_sessions!#REF!),"")</f>
        <v/>
      </c>
      <c r="AA29" s="15"/>
      <c r="AB29" s="15"/>
      <c r="AC29" s="15"/>
      <c r="AD29" s="15"/>
      <c r="AE29" s="15"/>
      <c r="AF29" s="15"/>
    </row>
    <row r="30" spans="2:32" x14ac:dyDescent="0.3">
      <c r="B30" s="14" t="str">
        <f>IFERROR(IF(db_user_sessions!#REF!="","",db_user_sessions!#REF!),"")</f>
        <v/>
      </c>
      <c r="C30" s="14"/>
      <c r="D30" s="14"/>
      <c r="E30" s="14"/>
      <c r="F30" s="15" t="str">
        <f>IFERROR(IF(db_user_sessions!#REF!="","",db_user_sessions!#REF!),"")</f>
        <v/>
      </c>
      <c r="G30" s="15"/>
      <c r="H30" s="15"/>
      <c r="I30" s="15"/>
      <c r="J30" s="15"/>
      <c r="K30" s="15"/>
      <c r="L30" s="15" t="str">
        <f>IFERROR(IF(db_user_sessions!#REF!="","",db_user_sessions!#REF!),"")</f>
        <v/>
      </c>
      <c r="M30" s="15"/>
      <c r="N30" s="15"/>
      <c r="O30" s="15" t="str">
        <f>IFERROR(IF(db_user_sessions!#REF!="","",db_user_sessions!#REF!),"")</f>
        <v/>
      </c>
      <c r="P30" s="15"/>
      <c r="Q30" s="15"/>
      <c r="R30" s="15" t="str">
        <f>IFERROR(IF(db_user_sessions!#REF!="","",db_user_sessions!#REF!),"")</f>
        <v/>
      </c>
      <c r="S30" s="15"/>
      <c r="T30" s="15"/>
      <c r="U30" s="15"/>
      <c r="V30" s="15"/>
      <c r="W30" s="15"/>
      <c r="X30" s="15"/>
      <c r="Y30" s="15"/>
      <c r="Z30" s="15" t="str">
        <f>IFERROR(IF(db_user_sessions!#REF!="","",db_user_sessions!#REF!),"")</f>
        <v/>
      </c>
      <c r="AA30" s="15"/>
      <c r="AB30" s="15"/>
      <c r="AC30" s="15"/>
      <c r="AD30" s="15"/>
      <c r="AE30" s="15"/>
      <c r="AF30" s="15"/>
    </row>
    <row r="31" spans="2:32" x14ac:dyDescent="0.3">
      <c r="B31" s="14" t="str">
        <f>IFERROR(IF(db_user_sessions!#REF!="","",db_user_sessions!#REF!),"")</f>
        <v/>
      </c>
      <c r="C31" s="14"/>
      <c r="D31" s="14"/>
      <c r="E31" s="14"/>
      <c r="F31" s="15" t="str">
        <f>IFERROR(IF(db_user_sessions!#REF!="","",db_user_sessions!#REF!),"")</f>
        <v/>
      </c>
      <c r="G31" s="15"/>
      <c r="H31" s="15"/>
      <c r="I31" s="15"/>
      <c r="J31" s="15"/>
      <c r="K31" s="15"/>
      <c r="L31" s="15" t="str">
        <f>IFERROR(IF(db_user_sessions!#REF!="","",db_user_sessions!#REF!),"")</f>
        <v/>
      </c>
      <c r="M31" s="15"/>
      <c r="N31" s="15"/>
      <c r="O31" s="15" t="str">
        <f>IFERROR(IF(db_user_sessions!#REF!="","",db_user_sessions!#REF!),"")</f>
        <v/>
      </c>
      <c r="P31" s="15"/>
      <c r="Q31" s="15"/>
      <c r="R31" s="15" t="str">
        <f>IFERROR(IF(db_user_sessions!#REF!="","",db_user_sessions!#REF!),"")</f>
        <v/>
      </c>
      <c r="S31" s="15"/>
      <c r="T31" s="15"/>
      <c r="U31" s="15"/>
      <c r="V31" s="15"/>
      <c r="W31" s="15"/>
      <c r="X31" s="15"/>
      <c r="Y31" s="15"/>
      <c r="Z31" s="15" t="str">
        <f>IFERROR(IF(db_user_sessions!#REF!="","",db_user_sessions!#REF!),"")</f>
        <v/>
      </c>
      <c r="AA31" s="15"/>
      <c r="AB31" s="15"/>
      <c r="AC31" s="15"/>
      <c r="AD31" s="15"/>
      <c r="AE31" s="15"/>
      <c r="AF31" s="15"/>
    </row>
    <row r="32" spans="2:32" x14ac:dyDescent="0.3">
      <c r="B32" s="14" t="str">
        <f>IFERROR(IF(db_user_sessions!B12="","",db_user_sessions!B12),"")</f>
        <v>Admgiuliano</v>
      </c>
      <c r="C32" s="14"/>
      <c r="D32" s="14"/>
      <c r="E32" s="14"/>
      <c r="F32" s="15" t="str">
        <f>IFERROR(IF(db_user_sessions!S12="","",db_user_sessions!S12),"")</f>
        <v>Oracle</v>
      </c>
      <c r="G32" s="15"/>
      <c r="H32" s="15"/>
      <c r="I32" s="15"/>
      <c r="J32" s="15"/>
      <c r="K32" s="15"/>
      <c r="L32" s="15" t="str">
        <f>IFERROR(IF(db_user_sessions!X12="","",db_user_sessions!X12),"")</f>
        <v/>
      </c>
      <c r="M32" s="15"/>
      <c r="N32" s="15"/>
      <c r="O32" s="15">
        <f>IFERROR(IF(db_user_sessions!N12="","",db_user_sessions!N12),"")</f>
        <v>0</v>
      </c>
      <c r="P32" s="15"/>
      <c r="Q32" s="15"/>
      <c r="R32" s="15" t="str">
        <f>IFERROR(IF(db_user_sessions!U12="","",db_user_sessions!U12),"")</f>
        <v>Oracle@Nagu-2hdrr1 (Ppa4)</v>
      </c>
      <c r="S32" s="15"/>
      <c r="T32" s="15"/>
      <c r="U32" s="15"/>
      <c r="V32" s="15"/>
      <c r="W32" s="15"/>
      <c r="X32" s="15"/>
      <c r="Y32" s="15"/>
      <c r="Z32" s="15" t="str">
        <f>IFERROR(IF(db_user_sessions!Z12="","",db_user_sessions!Z12),"")</f>
        <v>Nagj_Dbmonitor_Data</v>
      </c>
      <c r="AA32" s="15"/>
      <c r="AB32" s="15"/>
      <c r="AC32" s="15"/>
      <c r="AD32" s="15"/>
      <c r="AE32" s="15"/>
      <c r="AF32" s="15"/>
    </row>
    <row r="33" spans="2:32" x14ac:dyDescent="0.3">
      <c r="B33" s="14" t="str">
        <f>IFERROR(IF(db_user_sessions!B13="","",db_user_sessions!B13),"")</f>
        <v/>
      </c>
      <c r="C33" s="14"/>
      <c r="D33" s="14"/>
      <c r="E33" s="14"/>
      <c r="F33" s="15" t="str">
        <f>IFERROR(IF(db_user_sessions!S13="","",db_user_sessions!S13),"")</f>
        <v/>
      </c>
      <c r="G33" s="15"/>
      <c r="H33" s="15"/>
      <c r="I33" s="15"/>
      <c r="J33" s="15"/>
      <c r="K33" s="15"/>
      <c r="L33" s="15" t="str">
        <f>IFERROR(IF(db_user_sessions!X13="","",db_user_sessions!X13),"")</f>
        <v/>
      </c>
      <c r="M33" s="15"/>
      <c r="N33" s="15"/>
      <c r="O33" s="15" t="str">
        <f>IFERROR(IF(db_user_sessions!N13="","",db_user_sessions!N13),"")</f>
        <v/>
      </c>
      <c r="P33" s="15"/>
      <c r="Q33" s="15"/>
      <c r="R33" s="15" t="str">
        <f>IFERROR(IF(db_user_sessions!U13="","",db_user_sessions!U13),"")</f>
        <v/>
      </c>
      <c r="S33" s="15"/>
      <c r="T33" s="15"/>
      <c r="U33" s="15"/>
      <c r="V33" s="15"/>
      <c r="W33" s="15"/>
      <c r="X33" s="15"/>
      <c r="Y33" s="15"/>
      <c r="Z33" s="15" t="str">
        <f>IFERROR(IF(db_user_sessions!Z13="","",db_user_sessions!Z13),"")</f>
        <v/>
      </c>
      <c r="AA33" s="15"/>
      <c r="AB33" s="15"/>
      <c r="AC33" s="15"/>
      <c r="AD33" s="15"/>
      <c r="AE33" s="15"/>
      <c r="AF33" s="15"/>
    </row>
    <row r="34" spans="2:32" x14ac:dyDescent="0.3">
      <c r="B34" s="14" t="str">
        <f>IFERROR(IF(db_user_sessions!B14="","",db_user_sessions!B14),"")</f>
        <v/>
      </c>
      <c r="C34" s="14"/>
      <c r="D34" s="14"/>
      <c r="E34" s="14"/>
      <c r="F34" s="15" t="str">
        <f>IFERROR(IF(db_user_sessions!S14="","",db_user_sessions!S14),"")</f>
        <v/>
      </c>
      <c r="G34" s="15"/>
      <c r="H34" s="15"/>
      <c r="I34" s="15"/>
      <c r="J34" s="15"/>
      <c r="K34" s="15"/>
      <c r="L34" s="15" t="str">
        <f>IFERROR(IF(db_user_sessions!X14="","",db_user_sessions!X14),"")</f>
        <v/>
      </c>
      <c r="M34" s="15"/>
      <c r="N34" s="15"/>
      <c r="O34" s="15" t="str">
        <f>IFERROR(IF(db_user_sessions!N14="","",db_user_sessions!N14),"")</f>
        <v/>
      </c>
      <c r="P34" s="15"/>
      <c r="Q34" s="15"/>
      <c r="R34" s="15" t="str">
        <f>IFERROR(IF(db_user_sessions!U14="","",db_user_sessions!U14),"")</f>
        <v/>
      </c>
      <c r="S34" s="15"/>
      <c r="T34" s="15"/>
      <c r="U34" s="15"/>
      <c r="V34" s="15"/>
      <c r="W34" s="15"/>
      <c r="X34" s="15"/>
      <c r="Y34" s="15"/>
      <c r="Z34" s="15" t="str">
        <f>IFERROR(IF(db_user_sessions!Z14="","",db_user_sessions!Z14),"")</f>
        <v/>
      </c>
      <c r="AA34" s="15"/>
      <c r="AB34" s="15"/>
      <c r="AC34" s="15"/>
      <c r="AD34" s="15"/>
      <c r="AE34" s="15"/>
      <c r="AF34" s="15"/>
    </row>
    <row r="35" spans="2:32" x14ac:dyDescent="0.3">
      <c r="B35" s="14" t="str">
        <f>IFERROR(IF(db_user_sessions!B15="","",db_user_sessions!B15),"")</f>
        <v/>
      </c>
      <c r="C35" s="14"/>
      <c r="D35" s="14"/>
      <c r="E35" s="14"/>
      <c r="F35" s="15" t="str">
        <f>IFERROR(IF(db_user_sessions!S15="","",db_user_sessions!S15),"")</f>
        <v/>
      </c>
      <c r="G35" s="15"/>
      <c r="H35" s="15"/>
      <c r="I35" s="15"/>
      <c r="J35" s="15"/>
      <c r="K35" s="15"/>
      <c r="L35" s="15" t="str">
        <f>IFERROR(IF(db_user_sessions!X15="","",db_user_sessions!X15),"")</f>
        <v/>
      </c>
      <c r="M35" s="15"/>
      <c r="N35" s="15"/>
      <c r="O35" s="15" t="str">
        <f>IFERROR(IF(db_user_sessions!N15="","",db_user_sessions!N15),"")</f>
        <v/>
      </c>
      <c r="P35" s="15"/>
      <c r="Q35" s="15"/>
      <c r="R35" s="15" t="str">
        <f>IFERROR(IF(db_user_sessions!U15="","",db_user_sessions!U15),"")</f>
        <v/>
      </c>
      <c r="S35" s="15"/>
      <c r="T35" s="15"/>
      <c r="U35" s="15"/>
      <c r="V35" s="15"/>
      <c r="W35" s="15"/>
      <c r="X35" s="15"/>
      <c r="Y35" s="15"/>
      <c r="Z35" s="15" t="str">
        <f>IFERROR(IF(db_user_sessions!Z15="","",db_user_sessions!Z15),"")</f>
        <v/>
      </c>
      <c r="AA35" s="15"/>
      <c r="AB35" s="15"/>
      <c r="AC35" s="15"/>
      <c r="AD35" s="15"/>
      <c r="AE35" s="15"/>
      <c r="AF35" s="15"/>
    </row>
    <row r="36" spans="2:32" x14ac:dyDescent="0.3">
      <c r="B36" s="14" t="str">
        <f>IFERROR(IF(db_user_sessions!B16="","",db_user_sessions!B16),"")</f>
        <v/>
      </c>
      <c r="C36" s="14"/>
      <c r="D36" s="14"/>
      <c r="E36" s="14"/>
      <c r="F36" s="15" t="str">
        <f>IFERROR(IF(db_user_sessions!S16="","",db_user_sessions!S16),"")</f>
        <v/>
      </c>
      <c r="G36" s="15"/>
      <c r="H36" s="15"/>
      <c r="I36" s="15"/>
      <c r="J36" s="15"/>
      <c r="K36" s="15"/>
      <c r="L36" s="15" t="str">
        <f>IFERROR(IF(db_user_sessions!X16="","",db_user_sessions!X16),"")</f>
        <v/>
      </c>
      <c r="M36" s="15"/>
      <c r="N36" s="15"/>
      <c r="O36" s="15" t="str">
        <f>IFERROR(IF(db_user_sessions!N16="","",db_user_sessions!N16),"")</f>
        <v/>
      </c>
      <c r="P36" s="15"/>
      <c r="Q36" s="15"/>
      <c r="R36" s="15" t="str">
        <f>IFERROR(IF(db_user_sessions!U16="","",db_user_sessions!U16),"")</f>
        <v/>
      </c>
      <c r="S36" s="15"/>
      <c r="T36" s="15"/>
      <c r="U36" s="15"/>
      <c r="V36" s="15"/>
      <c r="W36" s="15"/>
      <c r="X36" s="15"/>
      <c r="Y36" s="15"/>
      <c r="Z36" s="15" t="str">
        <f>IFERROR(IF(db_user_sessions!Z16="","",db_user_sessions!Z16),"")</f>
        <v/>
      </c>
      <c r="AA36" s="15"/>
      <c r="AB36" s="15"/>
      <c r="AC36" s="15"/>
      <c r="AD36" s="15"/>
      <c r="AE36" s="15"/>
      <c r="AF36" s="15"/>
    </row>
    <row r="37" spans="2:32" x14ac:dyDescent="0.3">
      <c r="B37" s="14" t="str">
        <f>IFERROR(IF(db_user_sessions!B17="","",db_user_sessions!B17),"")</f>
        <v/>
      </c>
      <c r="C37" s="14"/>
      <c r="D37" s="14"/>
      <c r="E37" s="14"/>
      <c r="F37" s="15" t="str">
        <f>IFERROR(IF(db_user_sessions!S17="","",db_user_sessions!S17),"")</f>
        <v/>
      </c>
      <c r="G37" s="15"/>
      <c r="H37" s="15"/>
      <c r="I37" s="15"/>
      <c r="J37" s="15"/>
      <c r="K37" s="15"/>
      <c r="L37" s="15" t="str">
        <f>IFERROR(IF(db_user_sessions!X17="","",db_user_sessions!X17),"")</f>
        <v/>
      </c>
      <c r="M37" s="15"/>
      <c r="N37" s="15"/>
      <c r="O37" s="15" t="str">
        <f>IFERROR(IF(db_user_sessions!N17="","",db_user_sessions!N17),"")</f>
        <v/>
      </c>
      <c r="P37" s="15"/>
      <c r="Q37" s="15"/>
      <c r="R37" s="15" t="str">
        <f>IFERROR(IF(db_user_sessions!U17="","",db_user_sessions!U17),"")</f>
        <v/>
      </c>
      <c r="S37" s="15"/>
      <c r="T37" s="15"/>
      <c r="U37" s="15"/>
      <c r="V37" s="15"/>
      <c r="W37" s="15"/>
      <c r="X37" s="15"/>
      <c r="Y37" s="15"/>
      <c r="Z37" s="15" t="str">
        <f>IFERROR(IF(db_user_sessions!Z17="","",db_user_sessions!Z17),"")</f>
        <v/>
      </c>
      <c r="AA37" s="15"/>
      <c r="AB37" s="15"/>
      <c r="AC37" s="15"/>
      <c r="AD37" s="15"/>
      <c r="AE37" s="15"/>
      <c r="AF37" s="15"/>
    </row>
    <row r="38" spans="2:32" x14ac:dyDescent="0.3">
      <c r="B38" s="14" t="str">
        <f>IFERROR(IF(db_user_sessions!B18="","",db_user_sessions!B18),"")</f>
        <v/>
      </c>
      <c r="C38" s="14"/>
      <c r="D38" s="14"/>
      <c r="E38" s="14"/>
      <c r="F38" s="15" t="str">
        <f>IFERROR(IF(db_user_sessions!S18="","",db_user_sessions!S18),"")</f>
        <v/>
      </c>
      <c r="G38" s="15"/>
      <c r="H38" s="15"/>
      <c r="I38" s="15"/>
      <c r="J38" s="15"/>
      <c r="K38" s="15"/>
      <c r="L38" s="15" t="str">
        <f>IFERROR(IF(db_user_sessions!X18="","",db_user_sessions!X18),"")</f>
        <v/>
      </c>
      <c r="M38" s="15"/>
      <c r="N38" s="15"/>
      <c r="O38" s="15" t="str">
        <f>IFERROR(IF(db_user_sessions!N18="","",db_user_sessions!N18),"")</f>
        <v/>
      </c>
      <c r="P38" s="15"/>
      <c r="Q38" s="15"/>
      <c r="R38" s="15" t="str">
        <f>IFERROR(IF(db_user_sessions!U18="","",db_user_sessions!U18),"")</f>
        <v/>
      </c>
      <c r="S38" s="15"/>
      <c r="T38" s="15"/>
      <c r="U38" s="15"/>
      <c r="V38" s="15"/>
      <c r="W38" s="15"/>
      <c r="X38" s="15"/>
      <c r="Y38" s="15"/>
      <c r="Z38" s="15" t="str">
        <f>IFERROR(IF(db_user_sessions!Z18="","",db_user_sessions!Z18),"")</f>
        <v/>
      </c>
      <c r="AA38" s="15"/>
      <c r="AB38" s="15"/>
      <c r="AC38" s="15"/>
      <c r="AD38" s="15"/>
      <c r="AE38" s="15"/>
      <c r="AF38" s="15"/>
    </row>
    <row r="39" spans="2:32" x14ac:dyDescent="0.3">
      <c r="B39" s="14" t="str">
        <f>IFERROR(IF(db_user_sessions!B19="","",db_user_sessions!B19),"")</f>
        <v/>
      </c>
      <c r="C39" s="14"/>
      <c r="D39" s="14"/>
      <c r="E39" s="14"/>
      <c r="F39" s="15" t="str">
        <f>IFERROR(IF(db_user_sessions!S19="","",db_user_sessions!S19),"")</f>
        <v/>
      </c>
      <c r="G39" s="15"/>
      <c r="H39" s="15"/>
      <c r="I39" s="15"/>
      <c r="J39" s="15"/>
      <c r="K39" s="15"/>
      <c r="L39" s="15" t="str">
        <f>IFERROR(IF(db_user_sessions!X19="","",db_user_sessions!X19),"")</f>
        <v/>
      </c>
      <c r="M39" s="15"/>
      <c r="N39" s="15"/>
      <c r="O39" s="15" t="str">
        <f>IFERROR(IF(db_user_sessions!N19="","",db_user_sessions!N19),"")</f>
        <v/>
      </c>
      <c r="P39" s="15"/>
      <c r="Q39" s="15"/>
      <c r="R39" s="15" t="str">
        <f>IFERROR(IF(db_user_sessions!U19="","",db_user_sessions!U19),"")</f>
        <v/>
      </c>
      <c r="S39" s="15"/>
      <c r="T39" s="15"/>
      <c r="U39" s="15"/>
      <c r="V39" s="15"/>
      <c r="W39" s="15"/>
      <c r="X39" s="15"/>
      <c r="Y39" s="15"/>
      <c r="Z39" s="15" t="str">
        <f>IFERROR(IF(db_user_sessions!Z19="","",db_user_sessions!Z19),"")</f>
        <v/>
      </c>
      <c r="AA39" s="15"/>
      <c r="AB39" s="15"/>
      <c r="AC39" s="15"/>
      <c r="AD39" s="15"/>
      <c r="AE39" s="15"/>
      <c r="AF39" s="15"/>
    </row>
    <row r="40" spans="2:32" x14ac:dyDescent="0.3">
      <c r="B40" s="14" t="str">
        <f>IFERROR(IF(db_user_sessions!B20="","",db_user_sessions!B20),"")</f>
        <v/>
      </c>
      <c r="C40" s="14"/>
      <c r="D40" s="14"/>
      <c r="E40" s="14"/>
      <c r="F40" s="15" t="str">
        <f>IFERROR(IF(db_user_sessions!S20="","",db_user_sessions!S20),"")</f>
        <v/>
      </c>
      <c r="G40" s="15"/>
      <c r="H40" s="15"/>
      <c r="I40" s="15"/>
      <c r="J40" s="15"/>
      <c r="K40" s="15"/>
      <c r="L40" s="15" t="str">
        <f>IFERROR(IF(db_user_sessions!X20="","",db_user_sessions!X20),"")</f>
        <v/>
      </c>
      <c r="M40" s="15"/>
      <c r="N40" s="15"/>
      <c r="O40" s="15" t="str">
        <f>IFERROR(IF(db_user_sessions!N20="","",db_user_sessions!N20),"")</f>
        <v/>
      </c>
      <c r="P40" s="15"/>
      <c r="Q40" s="15"/>
      <c r="R40" s="15" t="str">
        <f>IFERROR(IF(db_user_sessions!U20="","",db_user_sessions!U20),"")</f>
        <v/>
      </c>
      <c r="S40" s="15"/>
      <c r="T40" s="15"/>
      <c r="U40" s="15"/>
      <c r="V40" s="15"/>
      <c r="W40" s="15"/>
      <c r="X40" s="15"/>
      <c r="Y40" s="15"/>
      <c r="Z40" s="15" t="str">
        <f>IFERROR(IF(db_user_sessions!Z20="","",db_user_sessions!Z20),"")</f>
        <v/>
      </c>
      <c r="AA40" s="15"/>
      <c r="AB40" s="15"/>
      <c r="AC40" s="15"/>
      <c r="AD40" s="15"/>
      <c r="AE40" s="15"/>
      <c r="AF40" s="15"/>
    </row>
    <row r="41" spans="2:32" x14ac:dyDescent="0.3">
      <c r="B41" s="14" t="str">
        <f>IFERROR(IF(db_user_sessions!B21="","",db_user_sessions!B21),"")</f>
        <v/>
      </c>
      <c r="C41" s="14"/>
      <c r="D41" s="14"/>
      <c r="E41" s="14"/>
      <c r="F41" s="15" t="str">
        <f>IFERROR(IF(db_user_sessions!S21="","",db_user_sessions!S21),"")</f>
        <v/>
      </c>
      <c r="G41" s="15"/>
      <c r="H41" s="15"/>
      <c r="I41" s="15"/>
      <c r="J41" s="15"/>
      <c r="K41" s="15"/>
      <c r="L41" s="15" t="str">
        <f>IFERROR(IF(db_user_sessions!X21="","",db_user_sessions!X21),"")</f>
        <v/>
      </c>
      <c r="M41" s="15"/>
      <c r="N41" s="15"/>
      <c r="O41" s="15" t="str">
        <f>IFERROR(IF(db_user_sessions!N21="","",db_user_sessions!N21),"")</f>
        <v/>
      </c>
      <c r="P41" s="15"/>
      <c r="Q41" s="15"/>
      <c r="R41" s="15" t="str">
        <f>IFERROR(IF(db_user_sessions!U21="","",db_user_sessions!U21),"")</f>
        <v/>
      </c>
      <c r="S41" s="15"/>
      <c r="T41" s="15"/>
      <c r="U41" s="15"/>
      <c r="V41" s="15"/>
      <c r="W41" s="15"/>
      <c r="X41" s="15"/>
      <c r="Y41" s="15"/>
      <c r="Z41" s="15" t="str">
        <f>IFERROR(IF(db_user_sessions!Z21="","",db_user_sessions!Z21),"")</f>
        <v/>
      </c>
      <c r="AA41" s="15"/>
      <c r="AB41" s="15"/>
      <c r="AC41" s="15"/>
      <c r="AD41" s="15"/>
      <c r="AE41" s="15"/>
      <c r="AF41" s="15"/>
    </row>
    <row r="42" spans="2:32" x14ac:dyDescent="0.3">
      <c r="B42" s="14" t="str">
        <f>IFERROR(IF(db_user_sessions!B22="","",db_user_sessions!B22),"")</f>
        <v/>
      </c>
      <c r="C42" s="14"/>
      <c r="D42" s="14"/>
      <c r="E42" s="14"/>
      <c r="F42" s="15" t="str">
        <f>IFERROR(IF(db_user_sessions!S22="","",db_user_sessions!S22),"")</f>
        <v/>
      </c>
      <c r="G42" s="15"/>
      <c r="H42" s="15"/>
      <c r="I42" s="15"/>
      <c r="J42" s="15"/>
      <c r="K42" s="15"/>
      <c r="L42" s="15" t="str">
        <f>IFERROR(IF(db_user_sessions!X22="","",db_user_sessions!X22),"")</f>
        <v/>
      </c>
      <c r="M42" s="15"/>
      <c r="N42" s="15"/>
      <c r="O42" s="15" t="str">
        <f>IFERROR(IF(db_user_sessions!N22="","",db_user_sessions!N22),"")</f>
        <v/>
      </c>
      <c r="P42" s="15"/>
      <c r="Q42" s="15"/>
      <c r="R42" s="15" t="str">
        <f>IFERROR(IF(db_user_sessions!U22="","",db_user_sessions!U22),"")</f>
        <v/>
      </c>
      <c r="S42" s="15"/>
      <c r="T42" s="15"/>
      <c r="U42" s="15"/>
      <c r="V42" s="15"/>
      <c r="W42" s="15"/>
      <c r="X42" s="15"/>
      <c r="Y42" s="15"/>
      <c r="Z42" s="15" t="str">
        <f>IFERROR(IF(db_user_sessions!Z22="","",db_user_sessions!Z22),"")</f>
        <v/>
      </c>
      <c r="AA42" s="15"/>
      <c r="AB42" s="15"/>
      <c r="AC42" s="15"/>
      <c r="AD42" s="15"/>
      <c r="AE42" s="15"/>
      <c r="AF42" s="15"/>
    </row>
    <row r="43" spans="2:32" x14ac:dyDescent="0.3">
      <c r="B43" s="14" t="str">
        <f>IFERROR(IF(db_user_sessions!B23="","",db_user_sessions!B23),"")</f>
        <v/>
      </c>
      <c r="C43" s="14"/>
      <c r="D43" s="14"/>
      <c r="E43" s="14"/>
      <c r="F43" s="15" t="str">
        <f>IFERROR(IF(db_user_sessions!S23="","",db_user_sessions!S23),"")</f>
        <v/>
      </c>
      <c r="G43" s="15"/>
      <c r="H43" s="15"/>
      <c r="I43" s="15"/>
      <c r="J43" s="15"/>
      <c r="K43" s="15"/>
      <c r="L43" s="15" t="str">
        <f>IFERROR(IF(db_user_sessions!X23="","",db_user_sessions!X23),"")</f>
        <v/>
      </c>
      <c r="M43" s="15"/>
      <c r="N43" s="15"/>
      <c r="O43" s="15" t="str">
        <f>IFERROR(IF(db_user_sessions!N23="","",db_user_sessions!N23),"")</f>
        <v/>
      </c>
      <c r="P43" s="15"/>
      <c r="Q43" s="15"/>
      <c r="R43" s="15" t="str">
        <f>IFERROR(IF(db_user_sessions!U23="","",db_user_sessions!U23),"")</f>
        <v/>
      </c>
      <c r="S43" s="15"/>
      <c r="T43" s="15"/>
      <c r="U43" s="15"/>
      <c r="V43" s="15"/>
      <c r="W43" s="15"/>
      <c r="X43" s="15"/>
      <c r="Y43" s="15"/>
      <c r="Z43" s="15" t="str">
        <f>IFERROR(IF(db_user_sessions!Z23="","",db_user_sessions!Z23),"")</f>
        <v/>
      </c>
      <c r="AA43" s="15"/>
      <c r="AB43" s="15"/>
      <c r="AC43" s="15"/>
      <c r="AD43" s="15"/>
      <c r="AE43" s="15"/>
      <c r="AF43" s="15"/>
    </row>
    <row r="44" spans="2:32" x14ac:dyDescent="0.3">
      <c r="B44" s="14" t="str">
        <f>IFERROR(IF(db_user_sessions!B24="","",db_user_sessions!B24),"")</f>
        <v/>
      </c>
      <c r="C44" s="14"/>
      <c r="D44" s="14"/>
      <c r="E44" s="14"/>
      <c r="F44" s="15" t="str">
        <f>IFERROR(IF(db_user_sessions!S24="","",db_user_sessions!S24),"")</f>
        <v/>
      </c>
      <c r="G44" s="15"/>
      <c r="H44" s="15"/>
      <c r="I44" s="15"/>
      <c r="J44" s="15"/>
      <c r="K44" s="15"/>
      <c r="L44" s="15" t="str">
        <f>IFERROR(IF(db_user_sessions!X24="","",db_user_sessions!X24),"")</f>
        <v/>
      </c>
      <c r="M44" s="15"/>
      <c r="N44" s="15"/>
      <c r="O44" s="15" t="str">
        <f>IFERROR(IF(db_user_sessions!N24="","",db_user_sessions!N24),"")</f>
        <v/>
      </c>
      <c r="P44" s="15"/>
      <c r="Q44" s="15"/>
      <c r="R44" s="15" t="str">
        <f>IFERROR(IF(db_user_sessions!U24="","",db_user_sessions!U24),"")</f>
        <v/>
      </c>
      <c r="S44" s="15"/>
      <c r="T44" s="15"/>
      <c r="U44" s="15"/>
      <c r="V44" s="15"/>
      <c r="W44" s="15"/>
      <c r="X44" s="15"/>
      <c r="Y44" s="15"/>
      <c r="Z44" s="15" t="str">
        <f>IFERROR(IF(db_user_sessions!Z24="","",db_user_sessions!Z24),"")</f>
        <v/>
      </c>
      <c r="AA44" s="15"/>
      <c r="AB44" s="15"/>
      <c r="AC44" s="15"/>
      <c r="AD44" s="15"/>
      <c r="AE44" s="15"/>
      <c r="AF44" s="15"/>
    </row>
    <row r="45" spans="2:32" x14ac:dyDescent="0.3">
      <c r="B45" s="14" t="str">
        <f>IFERROR(IF(db_user_sessions!B25="","",db_user_sessions!B25),"")</f>
        <v/>
      </c>
      <c r="C45" s="14"/>
      <c r="D45" s="14"/>
      <c r="E45" s="14"/>
      <c r="F45" s="15" t="str">
        <f>IFERROR(IF(db_user_sessions!S25="","",db_user_sessions!S25),"")</f>
        <v/>
      </c>
      <c r="G45" s="15"/>
      <c r="H45" s="15"/>
      <c r="I45" s="15"/>
      <c r="J45" s="15"/>
      <c r="K45" s="15"/>
      <c r="L45" s="15" t="str">
        <f>IFERROR(IF(db_user_sessions!X25="","",db_user_sessions!X25),"")</f>
        <v/>
      </c>
      <c r="M45" s="15"/>
      <c r="N45" s="15"/>
      <c r="O45" s="15" t="str">
        <f>IFERROR(IF(db_user_sessions!N25="","",db_user_sessions!N25),"")</f>
        <v/>
      </c>
      <c r="P45" s="15"/>
      <c r="Q45" s="15"/>
      <c r="R45" s="15" t="str">
        <f>IFERROR(IF(db_user_sessions!U25="","",db_user_sessions!U25),"")</f>
        <v/>
      </c>
      <c r="S45" s="15"/>
      <c r="T45" s="15"/>
      <c r="U45" s="15"/>
      <c r="V45" s="15"/>
      <c r="W45" s="15"/>
      <c r="X45" s="15"/>
      <c r="Y45" s="15"/>
      <c r="Z45" s="15" t="str">
        <f>IFERROR(IF(db_user_sessions!Z25="","",db_user_sessions!Z25),"")</f>
        <v/>
      </c>
      <c r="AA45" s="15"/>
      <c r="AB45" s="15"/>
      <c r="AC45" s="15"/>
      <c r="AD45" s="15"/>
      <c r="AE45" s="15"/>
      <c r="AF45" s="15"/>
    </row>
    <row r="46" spans="2:32" x14ac:dyDescent="0.3">
      <c r="B46" s="14" t="str">
        <f>IFERROR(IF(db_user_sessions!B26="","",db_user_sessions!B26),"")</f>
        <v/>
      </c>
      <c r="C46" s="14"/>
      <c r="D46" s="14"/>
      <c r="E46" s="14"/>
      <c r="F46" s="15" t="str">
        <f>IFERROR(IF(db_user_sessions!S26="","",db_user_sessions!S26),"")</f>
        <v/>
      </c>
      <c r="G46" s="15"/>
      <c r="H46" s="15"/>
      <c r="I46" s="15"/>
      <c r="J46" s="15"/>
      <c r="K46" s="15"/>
      <c r="L46" s="15" t="str">
        <f>IFERROR(IF(db_user_sessions!X26="","",db_user_sessions!X26),"")</f>
        <v/>
      </c>
      <c r="M46" s="15"/>
      <c r="N46" s="15"/>
      <c r="O46" s="15" t="str">
        <f>IFERROR(IF(db_user_sessions!N26="","",db_user_sessions!N26),"")</f>
        <v/>
      </c>
      <c r="P46" s="15"/>
      <c r="Q46" s="15"/>
      <c r="R46" s="15" t="str">
        <f>IFERROR(IF(db_user_sessions!U26="","",db_user_sessions!U26),"")</f>
        <v/>
      </c>
      <c r="S46" s="15"/>
      <c r="T46" s="15"/>
      <c r="U46" s="15"/>
      <c r="V46" s="15"/>
      <c r="W46" s="15"/>
      <c r="X46" s="15"/>
      <c r="Y46" s="15"/>
      <c r="Z46" s="15" t="str">
        <f>IFERROR(IF(db_user_sessions!Z26="","",db_user_sessions!Z26),"")</f>
        <v/>
      </c>
      <c r="AA46" s="15"/>
      <c r="AB46" s="15"/>
      <c r="AC46" s="15"/>
      <c r="AD46" s="15"/>
      <c r="AE46" s="15"/>
      <c r="AF46" s="15"/>
    </row>
    <row r="47" spans="2:32" x14ac:dyDescent="0.3">
      <c r="B47" s="14" t="str">
        <f>IFERROR(IF(db_user_sessions!B27="","",db_user_sessions!B27),"")</f>
        <v/>
      </c>
      <c r="C47" s="14"/>
      <c r="D47" s="14"/>
      <c r="E47" s="14"/>
      <c r="F47" s="15" t="str">
        <f>IFERROR(IF(db_user_sessions!S27="","",db_user_sessions!S27),"")</f>
        <v/>
      </c>
      <c r="G47" s="15"/>
      <c r="H47" s="15"/>
      <c r="I47" s="15"/>
      <c r="J47" s="15"/>
      <c r="K47" s="15"/>
      <c r="L47" s="15" t="str">
        <f>IFERROR(IF(db_user_sessions!X27="","",db_user_sessions!X27),"")</f>
        <v/>
      </c>
      <c r="M47" s="15"/>
      <c r="N47" s="15"/>
      <c r="O47" s="15" t="str">
        <f>IFERROR(IF(db_user_sessions!N27="","",db_user_sessions!N27),"")</f>
        <v/>
      </c>
      <c r="P47" s="15"/>
      <c r="Q47" s="15"/>
      <c r="R47" s="15" t="str">
        <f>IFERROR(IF(db_user_sessions!U27="","",db_user_sessions!U27),"")</f>
        <v/>
      </c>
      <c r="S47" s="15"/>
      <c r="T47" s="15"/>
      <c r="U47" s="15"/>
      <c r="V47" s="15"/>
      <c r="W47" s="15"/>
      <c r="X47" s="15"/>
      <c r="Y47" s="15"/>
      <c r="Z47" s="15" t="str">
        <f>IFERROR(IF(db_user_sessions!Z27="","",db_user_sessions!Z27),"")</f>
        <v/>
      </c>
      <c r="AA47" s="15"/>
      <c r="AB47" s="15"/>
      <c r="AC47" s="15"/>
      <c r="AD47" s="15"/>
      <c r="AE47" s="15"/>
      <c r="AF47" s="15"/>
    </row>
    <row r="48" spans="2:32" x14ac:dyDescent="0.3">
      <c r="B48" s="14" t="str">
        <f>IFERROR(IF(db_user_sessions!B28="","",db_user_sessions!B28),"")</f>
        <v/>
      </c>
      <c r="C48" s="14"/>
      <c r="D48" s="14"/>
      <c r="E48" s="14"/>
      <c r="F48" s="15" t="str">
        <f>IFERROR(IF(db_user_sessions!S28="","",db_user_sessions!S28),"")</f>
        <v/>
      </c>
      <c r="G48" s="15"/>
      <c r="H48" s="15"/>
      <c r="I48" s="15"/>
      <c r="J48" s="15"/>
      <c r="K48" s="15"/>
      <c r="L48" s="15" t="str">
        <f>IFERROR(IF(db_user_sessions!X28="","",db_user_sessions!X28),"")</f>
        <v/>
      </c>
      <c r="M48" s="15"/>
      <c r="N48" s="15"/>
      <c r="O48" s="15" t="str">
        <f>IFERROR(IF(db_user_sessions!N28="","",db_user_sessions!N28),"")</f>
        <v/>
      </c>
      <c r="P48" s="15"/>
      <c r="Q48" s="15"/>
      <c r="R48" s="15" t="str">
        <f>IFERROR(IF(db_user_sessions!U28="","",db_user_sessions!U28),"")</f>
        <v/>
      </c>
      <c r="S48" s="15"/>
      <c r="T48" s="15"/>
      <c r="U48" s="15"/>
      <c r="V48" s="15"/>
      <c r="W48" s="15"/>
      <c r="X48" s="15"/>
      <c r="Y48" s="15"/>
      <c r="Z48" s="15" t="str">
        <f>IFERROR(IF(db_user_sessions!Z28="","",db_user_sessions!Z28),"")</f>
        <v/>
      </c>
      <c r="AA48" s="15"/>
      <c r="AB48" s="15"/>
      <c r="AC48" s="15"/>
      <c r="AD48" s="15"/>
      <c r="AE48" s="15"/>
      <c r="AF48" s="15"/>
    </row>
    <row r="49" spans="2:32" x14ac:dyDescent="0.3">
      <c r="B49" s="14" t="str">
        <f>IFERROR(IF(db_user_sessions!B29="","",db_user_sessions!B29),"")</f>
        <v/>
      </c>
      <c r="C49" s="14"/>
      <c r="D49" s="14"/>
      <c r="E49" s="14"/>
      <c r="F49" s="15" t="str">
        <f>IFERROR(IF(db_user_sessions!S29="","",db_user_sessions!S29),"")</f>
        <v/>
      </c>
      <c r="G49" s="15"/>
      <c r="H49" s="15"/>
      <c r="I49" s="15"/>
      <c r="J49" s="15"/>
      <c r="K49" s="15"/>
      <c r="L49" s="15" t="str">
        <f>IFERROR(IF(db_user_sessions!X29="","",db_user_sessions!X29),"")</f>
        <v/>
      </c>
      <c r="M49" s="15"/>
      <c r="N49" s="15"/>
      <c r="O49" s="15" t="str">
        <f>IFERROR(IF(db_user_sessions!N29="","",db_user_sessions!N29),"")</f>
        <v/>
      </c>
      <c r="P49" s="15"/>
      <c r="Q49" s="15"/>
      <c r="R49" s="15" t="str">
        <f>IFERROR(IF(db_user_sessions!U29="","",db_user_sessions!U29),"")</f>
        <v/>
      </c>
      <c r="S49" s="15"/>
      <c r="T49" s="15"/>
      <c r="U49" s="15"/>
      <c r="V49" s="15"/>
      <c r="W49" s="15"/>
      <c r="X49" s="15"/>
      <c r="Y49" s="15"/>
      <c r="Z49" s="15" t="str">
        <f>IFERROR(IF(db_user_sessions!Z29="","",db_user_sessions!Z29),"")</f>
        <v/>
      </c>
      <c r="AA49" s="15"/>
      <c r="AB49" s="15"/>
      <c r="AC49" s="15"/>
      <c r="AD49" s="15"/>
      <c r="AE49" s="15"/>
      <c r="AF49" s="15"/>
    </row>
    <row r="50" spans="2:32" x14ac:dyDescent="0.3">
      <c r="B50" s="14" t="str">
        <f>IFERROR(IF(db_user_sessions!B30="","",db_user_sessions!B30),"")</f>
        <v/>
      </c>
      <c r="C50" s="14"/>
      <c r="D50" s="14"/>
      <c r="E50" s="14"/>
      <c r="F50" s="15" t="str">
        <f>IFERROR(IF(db_user_sessions!S30="","",db_user_sessions!S30),"")</f>
        <v/>
      </c>
      <c r="G50" s="15"/>
      <c r="H50" s="15"/>
      <c r="I50" s="15"/>
      <c r="J50" s="15"/>
      <c r="K50" s="15"/>
      <c r="L50" s="15" t="str">
        <f>IFERROR(IF(db_user_sessions!X30="","",db_user_sessions!X30),"")</f>
        <v/>
      </c>
      <c r="M50" s="15"/>
      <c r="N50" s="15"/>
      <c r="O50" s="15" t="str">
        <f>IFERROR(IF(db_user_sessions!N30="","",db_user_sessions!N30),"")</f>
        <v/>
      </c>
      <c r="P50" s="15"/>
      <c r="Q50" s="15"/>
      <c r="R50" s="15" t="str">
        <f>IFERROR(IF(db_user_sessions!U30="","",db_user_sessions!U30),"")</f>
        <v/>
      </c>
      <c r="S50" s="15"/>
      <c r="T50" s="15"/>
      <c r="U50" s="15"/>
      <c r="V50" s="15"/>
      <c r="W50" s="15"/>
      <c r="X50" s="15"/>
      <c r="Y50" s="15"/>
      <c r="Z50" s="15" t="str">
        <f>IFERROR(IF(db_user_sessions!Z30="","",db_user_sessions!Z30),"")</f>
        <v/>
      </c>
      <c r="AA50" s="15"/>
      <c r="AB50" s="15"/>
      <c r="AC50" s="15"/>
      <c r="AD50" s="15"/>
      <c r="AE50" s="15"/>
      <c r="AF50" s="15"/>
    </row>
    <row r="51" spans="2:32" x14ac:dyDescent="0.3">
      <c r="B51" s="14" t="str">
        <f>IFERROR(IF(db_user_sessions!B31="","",db_user_sessions!B31),"")</f>
        <v/>
      </c>
      <c r="C51" s="14"/>
      <c r="D51" s="14"/>
      <c r="E51" s="14"/>
      <c r="F51" s="15" t="str">
        <f>IFERROR(IF(db_user_sessions!S31="","",db_user_sessions!S31),"")</f>
        <v/>
      </c>
      <c r="G51" s="15"/>
      <c r="H51" s="15"/>
      <c r="I51" s="15"/>
      <c r="J51" s="15"/>
      <c r="K51" s="15"/>
      <c r="L51" s="15" t="str">
        <f>IFERROR(IF(db_user_sessions!X31="","",db_user_sessions!X31),"")</f>
        <v/>
      </c>
      <c r="M51" s="15"/>
      <c r="N51" s="15"/>
      <c r="O51" s="15" t="str">
        <f>IFERROR(IF(db_user_sessions!N31="","",db_user_sessions!N31),"")</f>
        <v/>
      </c>
      <c r="P51" s="15"/>
      <c r="Q51" s="15"/>
      <c r="R51" s="15" t="str">
        <f>IFERROR(IF(db_user_sessions!U31="","",db_user_sessions!U31),"")</f>
        <v/>
      </c>
      <c r="S51" s="15"/>
      <c r="T51" s="15"/>
      <c r="U51" s="15"/>
      <c r="V51" s="15"/>
      <c r="W51" s="15"/>
      <c r="X51" s="15"/>
      <c r="Y51" s="15"/>
      <c r="Z51" s="15" t="str">
        <f>IFERROR(IF(db_user_sessions!Z31="","",db_user_sessions!Z31),"")</f>
        <v/>
      </c>
      <c r="AA51" s="15"/>
      <c r="AB51" s="15"/>
      <c r="AC51" s="15"/>
      <c r="AD51" s="15"/>
      <c r="AE51" s="15"/>
      <c r="AF51" s="15"/>
    </row>
    <row r="52" spans="2:32" x14ac:dyDescent="0.3">
      <c r="B52" s="14" t="str">
        <f>IFERROR(IF(db_user_sessions!B32="","",db_user_sessions!B32),"")</f>
        <v/>
      </c>
      <c r="C52" s="14"/>
      <c r="D52" s="14"/>
      <c r="E52" s="14"/>
      <c r="F52" s="15" t="str">
        <f>IFERROR(IF(db_user_sessions!S32="","",db_user_sessions!S32),"")</f>
        <v/>
      </c>
      <c r="G52" s="15"/>
      <c r="H52" s="15"/>
      <c r="I52" s="15"/>
      <c r="J52" s="15"/>
      <c r="K52" s="15"/>
      <c r="L52" s="15" t="str">
        <f>IFERROR(IF(db_user_sessions!X32="","",db_user_sessions!X32),"")</f>
        <v/>
      </c>
      <c r="M52" s="15"/>
      <c r="N52" s="15"/>
      <c r="O52" s="15" t="str">
        <f>IFERROR(IF(db_user_sessions!N32="","",db_user_sessions!N32),"")</f>
        <v/>
      </c>
      <c r="P52" s="15"/>
      <c r="Q52" s="15"/>
      <c r="R52" s="15" t="str">
        <f>IFERROR(IF(db_user_sessions!U32="","",db_user_sessions!U32),"")</f>
        <v/>
      </c>
      <c r="S52" s="15"/>
      <c r="T52" s="15"/>
      <c r="U52" s="15"/>
      <c r="V52" s="15"/>
      <c r="W52" s="15"/>
      <c r="X52" s="15"/>
      <c r="Y52" s="15"/>
      <c r="Z52" s="15" t="str">
        <f>IFERROR(IF(db_user_sessions!Z32="","",db_user_sessions!Z32),"")</f>
        <v/>
      </c>
      <c r="AA52" s="15"/>
      <c r="AB52" s="15"/>
      <c r="AC52" s="15"/>
      <c r="AD52" s="15"/>
      <c r="AE52" s="15"/>
      <c r="AF52" s="15"/>
    </row>
    <row r="53" spans="2:32" x14ac:dyDescent="0.3">
      <c r="B53" s="14" t="str">
        <f>IFERROR(IF(db_user_sessions!B33="","",db_user_sessions!B33),"")</f>
        <v/>
      </c>
      <c r="C53" s="14"/>
      <c r="D53" s="14"/>
      <c r="E53" s="14"/>
      <c r="F53" s="15" t="str">
        <f>IFERROR(IF(db_user_sessions!S33="","",db_user_sessions!S33),"")</f>
        <v/>
      </c>
      <c r="G53" s="15"/>
      <c r="H53" s="15"/>
      <c r="I53" s="15"/>
      <c r="J53" s="15"/>
      <c r="K53" s="15"/>
      <c r="L53" s="15" t="str">
        <f>IFERROR(IF(db_user_sessions!X33="","",db_user_sessions!X33),"")</f>
        <v/>
      </c>
      <c r="M53" s="15"/>
      <c r="N53" s="15"/>
      <c r="O53" s="15" t="str">
        <f>IFERROR(IF(db_user_sessions!N33="","",db_user_sessions!N33),"")</f>
        <v/>
      </c>
      <c r="P53" s="15"/>
      <c r="Q53" s="15"/>
      <c r="R53" s="15" t="str">
        <f>IFERROR(IF(db_user_sessions!U33="","",db_user_sessions!U33),"")</f>
        <v/>
      </c>
      <c r="S53" s="15"/>
      <c r="T53" s="15"/>
      <c r="U53" s="15"/>
      <c r="V53" s="15"/>
      <c r="W53" s="15"/>
      <c r="X53" s="15"/>
      <c r="Y53" s="15"/>
      <c r="Z53" s="15" t="str">
        <f>IFERROR(IF(db_user_sessions!Z33="","",db_user_sessions!Z33),"")</f>
        <v/>
      </c>
      <c r="AA53" s="15"/>
      <c r="AB53" s="15"/>
      <c r="AC53" s="15"/>
      <c r="AD53" s="15"/>
      <c r="AE53" s="15"/>
      <c r="AF53" s="15"/>
    </row>
    <row r="54" spans="2:32" x14ac:dyDescent="0.3">
      <c r="B54" s="14" t="str">
        <f>IFERROR(IF(db_user_sessions!B34="","",db_user_sessions!B34),"")</f>
        <v/>
      </c>
      <c r="C54" s="14"/>
      <c r="D54" s="14"/>
      <c r="E54" s="14"/>
      <c r="F54" s="15" t="str">
        <f>IFERROR(IF(db_user_sessions!S34="","",db_user_sessions!S34),"")</f>
        <v/>
      </c>
      <c r="G54" s="15"/>
      <c r="H54" s="15"/>
      <c r="I54" s="15"/>
      <c r="J54" s="15"/>
      <c r="K54" s="15"/>
      <c r="L54" s="15" t="str">
        <f>IFERROR(IF(db_user_sessions!X34="","",db_user_sessions!X34),"")</f>
        <v/>
      </c>
      <c r="M54" s="15"/>
      <c r="N54" s="15"/>
      <c r="O54" s="15" t="str">
        <f>IFERROR(IF(db_user_sessions!N34="","",db_user_sessions!N34),"")</f>
        <v/>
      </c>
      <c r="P54" s="15"/>
      <c r="Q54" s="15"/>
      <c r="R54" s="15" t="str">
        <f>IFERROR(IF(db_user_sessions!U34="","",db_user_sessions!U34),"")</f>
        <v/>
      </c>
      <c r="S54" s="15"/>
      <c r="T54" s="15"/>
      <c r="U54" s="15"/>
      <c r="V54" s="15"/>
      <c r="W54" s="15"/>
      <c r="X54" s="15"/>
      <c r="Y54" s="15"/>
      <c r="Z54" s="15" t="str">
        <f>IFERROR(IF(db_user_sessions!Z34="","",db_user_sessions!Z34),"")</f>
        <v/>
      </c>
      <c r="AA54" s="15"/>
      <c r="AB54" s="15"/>
      <c r="AC54" s="15"/>
      <c r="AD54" s="15"/>
      <c r="AE54" s="15"/>
      <c r="AF54" s="15"/>
    </row>
    <row r="55" spans="2:32" x14ac:dyDescent="0.3">
      <c r="B55" s="14" t="str">
        <f>IFERROR(IF(db_user_sessions!B35="","",db_user_sessions!B35),"")</f>
        <v/>
      </c>
      <c r="C55" s="14"/>
      <c r="D55" s="14"/>
      <c r="E55" s="14"/>
      <c r="F55" s="15" t="str">
        <f>IFERROR(IF(db_user_sessions!S35="","",db_user_sessions!S35),"")</f>
        <v/>
      </c>
      <c r="G55" s="15"/>
      <c r="H55" s="15"/>
      <c r="I55" s="15"/>
      <c r="J55" s="15"/>
      <c r="K55" s="15"/>
      <c r="L55" s="15" t="str">
        <f>IFERROR(IF(db_user_sessions!X35="","",db_user_sessions!X35),"")</f>
        <v/>
      </c>
      <c r="M55" s="15"/>
      <c r="N55" s="15"/>
      <c r="O55" s="15" t="str">
        <f>IFERROR(IF(db_user_sessions!N35="","",db_user_sessions!N35),"")</f>
        <v/>
      </c>
      <c r="P55" s="15"/>
      <c r="Q55" s="15"/>
      <c r="R55" s="15" t="str">
        <f>IFERROR(IF(db_user_sessions!U35="","",db_user_sessions!U35),"")</f>
        <v/>
      </c>
      <c r="S55" s="15"/>
      <c r="T55" s="15"/>
      <c r="U55" s="15"/>
      <c r="V55" s="15"/>
      <c r="W55" s="15"/>
      <c r="X55" s="15"/>
      <c r="Y55" s="15"/>
      <c r="Z55" s="15" t="str">
        <f>IFERROR(IF(db_user_sessions!Z35="","",db_user_sessions!Z35),"")</f>
        <v/>
      </c>
      <c r="AA55" s="15"/>
      <c r="AB55" s="15"/>
      <c r="AC55" s="15"/>
      <c r="AD55" s="15"/>
      <c r="AE55" s="15"/>
      <c r="AF55" s="15"/>
    </row>
    <row r="56" spans="2:32" x14ac:dyDescent="0.3">
      <c r="B56" s="14" t="str">
        <f>IFERROR(IF(db_user_sessions!B36="","",db_user_sessions!B36),"")</f>
        <v/>
      </c>
      <c r="C56" s="14"/>
      <c r="D56" s="14"/>
      <c r="E56" s="14"/>
      <c r="F56" s="15" t="str">
        <f>IFERROR(IF(db_user_sessions!S36="","",db_user_sessions!S36),"")</f>
        <v/>
      </c>
      <c r="G56" s="15"/>
      <c r="H56" s="15"/>
      <c r="I56" s="15"/>
      <c r="J56" s="15"/>
      <c r="K56" s="15"/>
      <c r="L56" s="15" t="str">
        <f>IFERROR(IF(db_user_sessions!X36="","",db_user_sessions!X36),"")</f>
        <v/>
      </c>
      <c r="M56" s="15"/>
      <c r="N56" s="15"/>
      <c r="O56" s="15" t="str">
        <f>IFERROR(IF(db_user_sessions!N36="","",db_user_sessions!N36),"")</f>
        <v/>
      </c>
      <c r="P56" s="15"/>
      <c r="Q56" s="15"/>
      <c r="R56" s="15" t="str">
        <f>IFERROR(IF(db_user_sessions!U36="","",db_user_sessions!U36),"")</f>
        <v/>
      </c>
      <c r="S56" s="15"/>
      <c r="T56" s="15"/>
      <c r="U56" s="15"/>
      <c r="V56" s="15"/>
      <c r="W56" s="15"/>
      <c r="X56" s="15"/>
      <c r="Y56" s="15"/>
      <c r="Z56" s="15" t="str">
        <f>IFERROR(IF(db_user_sessions!Z36="","",db_user_sessions!Z36),"")</f>
        <v/>
      </c>
      <c r="AA56" s="15"/>
      <c r="AB56" s="15"/>
      <c r="AC56" s="15"/>
      <c r="AD56" s="15"/>
      <c r="AE56" s="15"/>
      <c r="AF56" s="15"/>
    </row>
    <row r="57" spans="2:32" x14ac:dyDescent="0.3">
      <c r="B57" s="14" t="str">
        <f>IFERROR(IF(db_user_sessions!B37="","",db_user_sessions!B37),"")</f>
        <v/>
      </c>
      <c r="C57" s="14"/>
      <c r="D57" s="14"/>
      <c r="E57" s="14"/>
      <c r="F57" s="15" t="str">
        <f>IFERROR(IF(db_user_sessions!S37="","",db_user_sessions!S37),"")</f>
        <v/>
      </c>
      <c r="G57" s="15"/>
      <c r="H57" s="15"/>
      <c r="I57" s="15"/>
      <c r="J57" s="15"/>
      <c r="K57" s="15"/>
      <c r="L57" s="15" t="str">
        <f>IFERROR(IF(db_user_sessions!X37="","",db_user_sessions!X37),"")</f>
        <v/>
      </c>
      <c r="M57" s="15"/>
      <c r="N57" s="15"/>
      <c r="O57" s="15" t="str">
        <f>IFERROR(IF(db_user_sessions!N37="","",db_user_sessions!N37),"")</f>
        <v/>
      </c>
      <c r="P57" s="15"/>
      <c r="Q57" s="15"/>
      <c r="R57" s="15" t="str">
        <f>IFERROR(IF(db_user_sessions!U37="","",db_user_sessions!U37),"")</f>
        <v/>
      </c>
      <c r="S57" s="15"/>
      <c r="T57" s="15"/>
      <c r="U57" s="15"/>
      <c r="V57" s="15"/>
      <c r="W57" s="15"/>
      <c r="X57" s="15"/>
      <c r="Y57" s="15"/>
      <c r="Z57" s="15" t="str">
        <f>IFERROR(IF(db_user_sessions!Z37="","",db_user_sessions!Z37),"")</f>
        <v/>
      </c>
      <c r="AA57" s="15"/>
      <c r="AB57" s="15"/>
      <c r="AC57" s="15"/>
      <c r="AD57" s="15"/>
      <c r="AE57" s="15"/>
      <c r="AF57" s="15"/>
    </row>
    <row r="58" spans="2:32" x14ac:dyDescent="0.3">
      <c r="B58" s="14" t="str">
        <f>IFERROR(IF(db_user_sessions!B38="","",db_user_sessions!B38),"")</f>
        <v/>
      </c>
      <c r="C58" s="14"/>
      <c r="D58" s="14"/>
      <c r="E58" s="14"/>
      <c r="F58" s="15" t="str">
        <f>IFERROR(IF(db_user_sessions!S38="","",db_user_sessions!S38),"")</f>
        <v/>
      </c>
      <c r="G58" s="15"/>
      <c r="H58" s="15"/>
      <c r="I58" s="15"/>
      <c r="J58" s="15"/>
      <c r="K58" s="15"/>
      <c r="L58" s="15" t="str">
        <f>IFERROR(IF(db_user_sessions!X38="","",db_user_sessions!X38),"")</f>
        <v/>
      </c>
      <c r="M58" s="15"/>
      <c r="N58" s="15"/>
      <c r="O58" s="15" t="str">
        <f>IFERROR(IF(db_user_sessions!N38="","",db_user_sessions!N38),"")</f>
        <v/>
      </c>
      <c r="P58" s="15"/>
      <c r="Q58" s="15"/>
      <c r="R58" s="15" t="str">
        <f>IFERROR(IF(db_user_sessions!U38="","",db_user_sessions!U38),"")</f>
        <v/>
      </c>
      <c r="S58" s="15"/>
      <c r="T58" s="15"/>
      <c r="U58" s="15"/>
      <c r="V58" s="15"/>
      <c r="W58" s="15"/>
      <c r="X58" s="15"/>
      <c r="Y58" s="15"/>
      <c r="Z58" s="15" t="str">
        <f>IFERROR(IF(db_user_sessions!Z38="","",db_user_sessions!Z38),"")</f>
        <v/>
      </c>
      <c r="AA58" s="15"/>
      <c r="AB58" s="15"/>
      <c r="AC58" s="15"/>
      <c r="AD58" s="15"/>
      <c r="AE58" s="15"/>
      <c r="AF58" s="15"/>
    </row>
    <row r="59" spans="2:32" x14ac:dyDescent="0.3">
      <c r="B59" s="14" t="str">
        <f>IFERROR(IF(db_user_sessions!B39="","",db_user_sessions!B39),"")</f>
        <v/>
      </c>
      <c r="C59" s="14"/>
      <c r="D59" s="14"/>
      <c r="E59" s="14"/>
      <c r="F59" s="15" t="str">
        <f>IFERROR(IF(db_user_sessions!S39="","",db_user_sessions!S39),"")</f>
        <v/>
      </c>
      <c r="G59" s="15"/>
      <c r="H59" s="15"/>
      <c r="I59" s="15"/>
      <c r="J59" s="15"/>
      <c r="K59" s="15"/>
      <c r="L59" s="15" t="str">
        <f>IFERROR(IF(db_user_sessions!X39="","",db_user_sessions!X39),"")</f>
        <v/>
      </c>
      <c r="M59" s="15"/>
      <c r="N59" s="15"/>
      <c r="O59" s="15" t="str">
        <f>IFERROR(IF(db_user_sessions!N39="","",db_user_sessions!N39),"")</f>
        <v/>
      </c>
      <c r="P59" s="15"/>
      <c r="Q59" s="15"/>
      <c r="R59" s="15" t="str">
        <f>IFERROR(IF(db_user_sessions!U39="","",db_user_sessions!U39),"")</f>
        <v/>
      </c>
      <c r="S59" s="15"/>
      <c r="T59" s="15"/>
      <c r="U59" s="15"/>
      <c r="V59" s="15"/>
      <c r="W59" s="15"/>
      <c r="X59" s="15"/>
      <c r="Y59" s="15"/>
      <c r="Z59" s="15" t="str">
        <f>IFERROR(IF(db_user_sessions!Z39="","",db_user_sessions!Z39),"")</f>
        <v/>
      </c>
      <c r="AA59" s="15"/>
      <c r="AB59" s="15"/>
      <c r="AC59" s="15"/>
      <c r="AD59" s="15"/>
      <c r="AE59" s="15"/>
      <c r="AF59" s="15"/>
    </row>
    <row r="60" spans="2:32" x14ac:dyDescent="0.3">
      <c r="B60" s="14"/>
      <c r="C60" s="14"/>
      <c r="D60" s="14"/>
      <c r="E60" s="14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</row>
  </sheetData>
  <mergeCells count="304">
    <mergeCell ref="B59:E59"/>
    <mergeCell ref="F59:K59"/>
    <mergeCell ref="L59:N59"/>
    <mergeCell ref="O59:Q59"/>
    <mergeCell ref="R59:Y59"/>
    <mergeCell ref="Z59:AF59"/>
    <mergeCell ref="B60:E60"/>
    <mergeCell ref="F60:K60"/>
    <mergeCell ref="L60:N60"/>
    <mergeCell ref="O60:Q60"/>
    <mergeCell ref="R60:Y60"/>
    <mergeCell ref="Z60:AF60"/>
    <mergeCell ref="B57:E57"/>
    <mergeCell ref="F57:K57"/>
    <mergeCell ref="L57:N57"/>
    <mergeCell ref="O57:Q57"/>
    <mergeCell ref="R57:Y57"/>
    <mergeCell ref="Z57:AF57"/>
    <mergeCell ref="B58:E58"/>
    <mergeCell ref="F58:K58"/>
    <mergeCell ref="L58:N58"/>
    <mergeCell ref="O58:Q58"/>
    <mergeCell ref="R58:Y58"/>
    <mergeCell ref="Z58:AF58"/>
    <mergeCell ref="B55:E55"/>
    <mergeCell ref="F55:K55"/>
    <mergeCell ref="L55:N55"/>
    <mergeCell ref="O55:Q55"/>
    <mergeCell ref="R55:Y55"/>
    <mergeCell ref="Z55:AF55"/>
    <mergeCell ref="B56:E56"/>
    <mergeCell ref="F56:K56"/>
    <mergeCell ref="L56:N56"/>
    <mergeCell ref="O56:Q56"/>
    <mergeCell ref="R56:Y56"/>
    <mergeCell ref="Z56:AF56"/>
    <mergeCell ref="B53:E53"/>
    <mergeCell ref="F53:K53"/>
    <mergeCell ref="L53:N53"/>
    <mergeCell ref="O53:Q53"/>
    <mergeCell ref="R53:Y53"/>
    <mergeCell ref="Z53:AF53"/>
    <mergeCell ref="B54:E54"/>
    <mergeCell ref="F54:K54"/>
    <mergeCell ref="L54:N54"/>
    <mergeCell ref="O54:Q54"/>
    <mergeCell ref="R54:Y54"/>
    <mergeCell ref="Z54:AF54"/>
    <mergeCell ref="B51:E51"/>
    <mergeCell ref="F51:K51"/>
    <mergeCell ref="L51:N51"/>
    <mergeCell ref="O51:Q51"/>
    <mergeCell ref="R51:Y51"/>
    <mergeCell ref="Z51:AF51"/>
    <mergeCell ref="B52:E52"/>
    <mergeCell ref="F52:K52"/>
    <mergeCell ref="L52:N52"/>
    <mergeCell ref="O52:Q52"/>
    <mergeCell ref="R52:Y52"/>
    <mergeCell ref="Z52:AF52"/>
    <mergeCell ref="B49:E49"/>
    <mergeCell ref="F49:K49"/>
    <mergeCell ref="L49:N49"/>
    <mergeCell ref="O49:Q49"/>
    <mergeCell ref="R49:Y49"/>
    <mergeCell ref="Z49:AF49"/>
    <mergeCell ref="B50:E50"/>
    <mergeCell ref="F50:K50"/>
    <mergeCell ref="L50:N50"/>
    <mergeCell ref="O50:Q50"/>
    <mergeCell ref="R50:Y50"/>
    <mergeCell ref="Z50:AF50"/>
    <mergeCell ref="B47:E47"/>
    <mergeCell ref="F47:K47"/>
    <mergeCell ref="L47:N47"/>
    <mergeCell ref="O47:Q47"/>
    <mergeCell ref="R47:Y47"/>
    <mergeCell ref="Z47:AF47"/>
    <mergeCell ref="B48:E48"/>
    <mergeCell ref="F48:K48"/>
    <mergeCell ref="L48:N48"/>
    <mergeCell ref="O48:Q48"/>
    <mergeCell ref="R48:Y48"/>
    <mergeCell ref="Z48:AF48"/>
    <mergeCell ref="B45:E45"/>
    <mergeCell ref="F45:K45"/>
    <mergeCell ref="L45:N45"/>
    <mergeCell ref="O45:Q45"/>
    <mergeCell ref="R45:Y45"/>
    <mergeCell ref="Z45:AF45"/>
    <mergeCell ref="B46:E46"/>
    <mergeCell ref="F46:K46"/>
    <mergeCell ref="L46:N46"/>
    <mergeCell ref="O46:Q46"/>
    <mergeCell ref="R46:Y46"/>
    <mergeCell ref="Z46:AF46"/>
    <mergeCell ref="B43:E43"/>
    <mergeCell ref="F43:K43"/>
    <mergeCell ref="L43:N43"/>
    <mergeCell ref="O43:Q43"/>
    <mergeCell ref="R43:Y43"/>
    <mergeCell ref="Z43:AF43"/>
    <mergeCell ref="B44:E44"/>
    <mergeCell ref="F44:K44"/>
    <mergeCell ref="L44:N44"/>
    <mergeCell ref="O44:Q44"/>
    <mergeCell ref="R44:Y44"/>
    <mergeCell ref="Z44:AF44"/>
    <mergeCell ref="B41:E41"/>
    <mergeCell ref="F41:K41"/>
    <mergeCell ref="L41:N41"/>
    <mergeCell ref="O41:Q41"/>
    <mergeCell ref="R41:Y41"/>
    <mergeCell ref="Z41:AF41"/>
    <mergeCell ref="B42:E42"/>
    <mergeCell ref="F42:K42"/>
    <mergeCell ref="L42:N42"/>
    <mergeCell ref="O42:Q42"/>
    <mergeCell ref="R42:Y42"/>
    <mergeCell ref="Z42:AF42"/>
    <mergeCell ref="B39:E39"/>
    <mergeCell ref="F39:K39"/>
    <mergeCell ref="L39:N39"/>
    <mergeCell ref="O39:Q39"/>
    <mergeCell ref="R39:Y39"/>
    <mergeCell ref="Z39:AF39"/>
    <mergeCell ref="B40:E40"/>
    <mergeCell ref="F40:K40"/>
    <mergeCell ref="L40:N40"/>
    <mergeCell ref="O40:Q40"/>
    <mergeCell ref="R40:Y40"/>
    <mergeCell ref="Z40:AF40"/>
    <mergeCell ref="B37:E37"/>
    <mergeCell ref="F37:K37"/>
    <mergeCell ref="L37:N37"/>
    <mergeCell ref="O37:Q37"/>
    <mergeCell ref="R37:Y37"/>
    <mergeCell ref="Z37:AF37"/>
    <mergeCell ref="B38:E38"/>
    <mergeCell ref="F38:K38"/>
    <mergeCell ref="L38:N38"/>
    <mergeCell ref="O38:Q38"/>
    <mergeCell ref="R38:Y38"/>
    <mergeCell ref="Z38:AF38"/>
    <mergeCell ref="B35:E35"/>
    <mergeCell ref="F35:K35"/>
    <mergeCell ref="L35:N35"/>
    <mergeCell ref="O35:Q35"/>
    <mergeCell ref="R35:Y35"/>
    <mergeCell ref="Z35:AF35"/>
    <mergeCell ref="B36:E36"/>
    <mergeCell ref="F36:K36"/>
    <mergeCell ref="L36:N36"/>
    <mergeCell ref="O36:Q36"/>
    <mergeCell ref="R36:Y36"/>
    <mergeCell ref="Z36:AF36"/>
    <mergeCell ref="Z32:AF32"/>
    <mergeCell ref="B33:E33"/>
    <mergeCell ref="F33:K33"/>
    <mergeCell ref="L33:N33"/>
    <mergeCell ref="O33:Q33"/>
    <mergeCell ref="R33:Y33"/>
    <mergeCell ref="Z33:AF33"/>
    <mergeCell ref="B34:E34"/>
    <mergeCell ref="F34:K34"/>
    <mergeCell ref="L34:N34"/>
    <mergeCell ref="O34:Q34"/>
    <mergeCell ref="R34:Y34"/>
    <mergeCell ref="Z34:AF34"/>
    <mergeCell ref="B30:E30"/>
    <mergeCell ref="F30:K30"/>
    <mergeCell ref="L30:N30"/>
    <mergeCell ref="O30:Q30"/>
    <mergeCell ref="R30:Y30"/>
    <mergeCell ref="Z30:AF30"/>
    <mergeCell ref="B31:E31"/>
    <mergeCell ref="F31:K31"/>
    <mergeCell ref="L31:N31"/>
    <mergeCell ref="O31:Q31"/>
    <mergeCell ref="R31:Y31"/>
    <mergeCell ref="Z31:AF31"/>
    <mergeCell ref="B32:E32"/>
    <mergeCell ref="F32:K32"/>
    <mergeCell ref="L32:N32"/>
    <mergeCell ref="O32:Q32"/>
    <mergeCell ref="R32:Y32"/>
    <mergeCell ref="W2:AF3"/>
    <mergeCell ref="L2:U3"/>
    <mergeCell ref="B8:E10"/>
    <mergeCell ref="F8:H8"/>
    <mergeCell ref="I8:J8"/>
    <mergeCell ref="F9:H9"/>
    <mergeCell ref="F10:H10"/>
    <mergeCell ref="Z28:AF28"/>
    <mergeCell ref="Z29:AF29"/>
    <mergeCell ref="R14:AF14"/>
    <mergeCell ref="B12:AF12"/>
    <mergeCell ref="B2:J2"/>
    <mergeCell ref="B3:J3"/>
    <mergeCell ref="B5:J5"/>
    <mergeCell ref="B6:J6"/>
    <mergeCell ref="Z15:AF15"/>
    <mergeCell ref="Z16:AF16"/>
    <mergeCell ref="Z17:AF17"/>
    <mergeCell ref="Z18:AF18"/>
    <mergeCell ref="Z19:AF19"/>
    <mergeCell ref="Z20:AF20"/>
    <mergeCell ref="R25:Y25"/>
    <mergeCell ref="R26:Y26"/>
    <mergeCell ref="R27:Y27"/>
    <mergeCell ref="Z22:AF22"/>
    <mergeCell ref="Z23:AF23"/>
    <mergeCell ref="Z24:AF24"/>
    <mergeCell ref="R28:Y28"/>
    <mergeCell ref="R29:Y29"/>
    <mergeCell ref="L14:N14"/>
    <mergeCell ref="L28:N28"/>
    <mergeCell ref="L29:N29"/>
    <mergeCell ref="R15:Y15"/>
    <mergeCell ref="R16:Y16"/>
    <mergeCell ref="R17:Y17"/>
    <mergeCell ref="R18:Y18"/>
    <mergeCell ref="R19:Y19"/>
    <mergeCell ref="R20:Y20"/>
    <mergeCell ref="L25:N25"/>
    <mergeCell ref="L26:N26"/>
    <mergeCell ref="L27:N27"/>
    <mergeCell ref="L19:N19"/>
    <mergeCell ref="L20:N20"/>
    <mergeCell ref="L21:N21"/>
    <mergeCell ref="Z21:AF21"/>
    <mergeCell ref="O27:Q27"/>
    <mergeCell ref="O28:Q28"/>
    <mergeCell ref="O29:Q29"/>
    <mergeCell ref="L15:N15"/>
    <mergeCell ref="L16:N16"/>
    <mergeCell ref="L17:N17"/>
    <mergeCell ref="L18:N18"/>
    <mergeCell ref="O21:Q21"/>
    <mergeCell ref="O22:Q22"/>
    <mergeCell ref="O23:Q23"/>
    <mergeCell ref="O24:Q24"/>
    <mergeCell ref="O25:Q25"/>
    <mergeCell ref="O26:Q26"/>
    <mergeCell ref="R21:Y21"/>
    <mergeCell ref="R22:Y22"/>
    <mergeCell ref="R23:Y23"/>
    <mergeCell ref="R24:Y24"/>
    <mergeCell ref="Z25:AF25"/>
    <mergeCell ref="Z26:AF26"/>
    <mergeCell ref="Z27:AF27"/>
    <mergeCell ref="L22:N22"/>
    <mergeCell ref="L23:N23"/>
    <mergeCell ref="L24:N24"/>
    <mergeCell ref="F27:K27"/>
    <mergeCell ref="F28:K28"/>
    <mergeCell ref="F29:K29"/>
    <mergeCell ref="O14:Q14"/>
    <mergeCell ref="O16:Q16"/>
    <mergeCell ref="O17:Q17"/>
    <mergeCell ref="O18:Q18"/>
    <mergeCell ref="O19:Q19"/>
    <mergeCell ref="O20:Q20"/>
    <mergeCell ref="F21:K21"/>
    <mergeCell ref="F22:K22"/>
    <mergeCell ref="F23:K23"/>
    <mergeCell ref="F24:K24"/>
    <mergeCell ref="F25:K25"/>
    <mergeCell ref="F26:K26"/>
    <mergeCell ref="F14:K14"/>
    <mergeCell ref="F15:K15"/>
    <mergeCell ref="F16:K16"/>
    <mergeCell ref="F17:K17"/>
    <mergeCell ref="F18:K18"/>
    <mergeCell ref="F19:K19"/>
    <mergeCell ref="B27:E27"/>
    <mergeCell ref="B28:E28"/>
    <mergeCell ref="B29:E29"/>
    <mergeCell ref="B21:E21"/>
    <mergeCell ref="B22:E22"/>
    <mergeCell ref="B23:E23"/>
    <mergeCell ref="B24:E24"/>
    <mergeCell ref="B25:E25"/>
    <mergeCell ref="B26:E26"/>
    <mergeCell ref="T6:U6"/>
    <mergeCell ref="T5:U5"/>
    <mergeCell ref="AE5:AF5"/>
    <mergeCell ref="B15:E15"/>
    <mergeCell ref="B16:E16"/>
    <mergeCell ref="B17:E17"/>
    <mergeCell ref="B18:E18"/>
    <mergeCell ref="B19:E19"/>
    <mergeCell ref="B20:E20"/>
    <mergeCell ref="O15:Q15"/>
    <mergeCell ref="F20:K20"/>
    <mergeCell ref="I9:J9"/>
    <mergeCell ref="I10:J10"/>
    <mergeCell ref="B14:E14"/>
    <mergeCell ref="AB8:AD10"/>
    <mergeCell ref="L8:M10"/>
    <mergeCell ref="N8:O10"/>
    <mergeCell ref="T8:U10"/>
    <mergeCell ref="Q8:S10"/>
    <mergeCell ref="W8:Y10"/>
  </mergeCells>
  <conditionalFormatting sqref="L2">
    <cfRule type="expression" dxfId="25" priority="4">
      <formula>$T$6&gt;0</formula>
    </cfRule>
  </conditionalFormatting>
  <conditionalFormatting sqref="W2">
    <cfRule type="expression" dxfId="24" priority="5">
      <formula>$AE$5&gt;0</formula>
    </cfRule>
  </conditionalFormatting>
  <conditionalFormatting sqref="AK5">
    <cfRule type="expression" dxfId="23" priority="1">
      <formula>"execucaoAgendada = True"</formula>
    </cfRule>
  </conditionalFormatting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3DB844E-95EF-4EF8-8F77-5D6E960EE9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db_user_sessions</vt:lpstr>
      <vt:lpstr>db_locks</vt:lpstr>
      <vt:lpstr>db_invalid_objects</vt:lpstr>
      <vt:lpstr>Dash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Giuliano Gomes</dc:creator>
  <cp:lastModifiedBy>Giuliano Gomes</cp:lastModifiedBy>
  <dcterms:created xsi:type="dcterms:W3CDTF">2015-06-05T18:17:20Z</dcterms:created>
  <dcterms:modified xsi:type="dcterms:W3CDTF">2024-06-03T19:07:14Z</dcterms:modified>
</cp:coreProperties>
</file>